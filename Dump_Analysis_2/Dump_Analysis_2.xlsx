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tu\OneDrive\Desktop\Dump_Analysis\"/>
    </mc:Choice>
  </mc:AlternateContent>
  <xr:revisionPtr revIDLastSave="0" documentId="13_ncr:1_{E13E791F-3EFB-4A2B-928C-10068E38F704}" xr6:coauthVersionLast="47" xr6:coauthVersionMax="47" xr10:uidLastSave="{00000000-0000-0000-0000-000000000000}"/>
  <bookViews>
    <workbookView xWindow="-108" yWindow="-108" windowWidth="23256" windowHeight="12456" activeTab="1" xr2:uid="{391A56B7-C2B9-4F75-A22B-5EBB50EC8A3E}"/>
  </bookViews>
  <sheets>
    <sheet name="College2_Dump" sheetId="1" r:id="rId1"/>
    <sheet name="Executive Overview" sheetId="2" r:id="rId2"/>
    <sheet name="Monthly Trend" sheetId="3" r:id="rId3"/>
    <sheet name="Course Demand Analysis" sheetId="5" r:id="rId4"/>
  </sheets>
  <definedNames>
    <definedName name="_xlcn.WorksheetConnection_College2_Dump.xlsxTable11" hidden="1">Table1[]</definedName>
  </definedNames>
  <calcPr calcId="191029"/>
  <pivotCaches>
    <pivotCache cacheId="14" r:id="rId5"/>
    <pivotCache cacheId="48" r:id="rId6"/>
    <pivotCache cacheId="49" r:id="rId7"/>
    <pivotCache cacheId="59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ollege2_Dump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2" l="1"/>
  <c r="H1" i="2"/>
  <c r="B16" i="2"/>
  <c r="B12" i="2"/>
  <c r="B7" i="2"/>
  <c r="I7" i="2"/>
  <c r="H7" i="2"/>
  <c r="B1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689422-AB35-4C34-A55F-5B78B14763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808B906-AB01-45B5-B6B9-A97F9B981456}" name="WorksheetConnection_College2_Dump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ollege2_Dump.xlsxTable11"/>
        </x15:connection>
      </ext>
    </extLst>
  </connection>
</connections>
</file>

<file path=xl/sharedStrings.xml><?xml version="1.0" encoding="utf-8"?>
<sst xmlns="http://schemas.openxmlformats.org/spreadsheetml/2006/main" count="1009" uniqueCount="241">
  <si>
    <t>Name</t>
  </si>
  <si>
    <t>Lead Origin</t>
  </si>
  <si>
    <t>Country</t>
  </si>
  <si>
    <t>State</t>
  </si>
  <si>
    <t>City</t>
  </si>
  <si>
    <t>Instance</t>
  </si>
  <si>
    <t>Instance Date</t>
  </si>
  <si>
    <t>Lead Stage</t>
  </si>
  <si>
    <t>Lead Status</t>
  </si>
  <si>
    <t>Email Verification Status</t>
  </si>
  <si>
    <t>Mobile Verification Status</t>
  </si>
  <si>
    <t>Lead Score</t>
  </si>
  <si>
    <t>Registration Device</t>
  </si>
  <si>
    <t>Course</t>
  </si>
  <si>
    <t>Specialization</t>
  </si>
  <si>
    <t>Campus</t>
  </si>
  <si>
    <t>Last Lead Activity Date</t>
  </si>
  <si>
    <t>Form Initiated</t>
  </si>
  <si>
    <t>Paid Applications</t>
  </si>
  <si>
    <t>Enrolment Status</t>
  </si>
  <si>
    <t>Kritika Aggrawal</t>
  </si>
  <si>
    <t>Online</t>
  </si>
  <si>
    <t>India</t>
  </si>
  <si>
    <t>Haryana</t>
  </si>
  <si>
    <t>Faridabad</t>
  </si>
  <si>
    <t>Primary</t>
  </si>
  <si>
    <t>14/08/2025</t>
  </si>
  <si>
    <t>Applied</t>
  </si>
  <si>
    <t>Verified</t>
  </si>
  <si>
    <t>Yes</t>
  </si>
  <si>
    <t>Desktop</t>
  </si>
  <si>
    <t>B.Tech CSE</t>
  </si>
  <si>
    <t>Specialization Not Available</t>
  </si>
  <si>
    <t>University Not Available</t>
  </si>
  <si>
    <t>17/08/2025 01:21</t>
  </si>
  <si>
    <t>Divyansh Harsh</t>
  </si>
  <si>
    <t>API</t>
  </si>
  <si>
    <t>Uttar Pradesh</t>
  </si>
  <si>
    <t>Noida</t>
  </si>
  <si>
    <t>26/07/2025</t>
  </si>
  <si>
    <t>BBA</t>
  </si>
  <si>
    <t>27/08/2025 16:52</t>
  </si>
  <si>
    <t>Priyanshi Tyagi</t>
  </si>
  <si>
    <t>Delhi</t>
  </si>
  <si>
    <t>New Delhi</t>
  </si>
  <si>
    <t>21/07/2025</t>
  </si>
  <si>
    <t>No</t>
  </si>
  <si>
    <t>B.Tech Biotechnology</t>
  </si>
  <si>
    <t>21/08/2025 12:25</t>
  </si>
  <si>
    <t>Mohit</t>
  </si>
  <si>
    <t>17/07/2025</t>
  </si>
  <si>
    <t>BTECH AI</t>
  </si>
  <si>
    <t>Ansh Sharma</t>
  </si>
  <si>
    <t>15/07/2025</t>
  </si>
  <si>
    <t>Tarun</t>
  </si>
  <si>
    <t>Meerut</t>
  </si>
  <si>
    <t>MBA</t>
  </si>
  <si>
    <t>Prashant goyal</t>
  </si>
  <si>
    <t>Aligarh</t>
  </si>
  <si>
    <t>Kriti Chauhan</t>
  </si>
  <si>
    <t>Rajasthan</t>
  </si>
  <si>
    <t>Jaipur</t>
  </si>
  <si>
    <t>28/06/2025</t>
  </si>
  <si>
    <t>16/07/2025 22:02</t>
  </si>
  <si>
    <t>Somen Pramanik</t>
  </si>
  <si>
    <t>Jharkhand</t>
  </si>
  <si>
    <t>Ranchi</t>
  </si>
  <si>
    <t>24/06/2025</t>
  </si>
  <si>
    <t>Untouched And Applied</t>
  </si>
  <si>
    <t>29/06/2025 20:03</t>
  </si>
  <si>
    <t>ABHITAAY AWASTHI</t>
  </si>
  <si>
    <t>Orai</t>
  </si>
  <si>
    <t>24/06/2025 13:39</t>
  </si>
  <si>
    <t>KYNA MONGA</t>
  </si>
  <si>
    <t>15/06/2025</t>
  </si>
  <si>
    <t>B.Design</t>
  </si>
  <si>
    <t>Naman Mishra</t>
  </si>
  <si>
    <t>13/06/2025</t>
  </si>
  <si>
    <t>B.Tech Mechanical Engineering</t>
  </si>
  <si>
    <t>Saifullah Saad</t>
  </si>
  <si>
    <t>Bihar</t>
  </si>
  <si>
    <t>Patna</t>
  </si>
  <si>
    <t>Integ. B.Tech and M.Tech Biotechnology</t>
  </si>
  <si>
    <t>15/07/2025 13:06</t>
  </si>
  <si>
    <t>SHURYANSH KASHYAP</t>
  </si>
  <si>
    <t>14/06/2025 11:20</t>
  </si>
  <si>
    <t>Sarthak</t>
  </si>
  <si>
    <t>30/06/2025 22:20</t>
  </si>
  <si>
    <t>Sneha Srivastava</t>
  </si>
  <si>
    <t>30/05/2025</t>
  </si>
  <si>
    <t>Mobile</t>
  </si>
  <si>
    <t>30/05/2025 17:22</t>
  </si>
  <si>
    <t>Daksh Rawat</t>
  </si>
  <si>
    <t>Greater Noida</t>
  </si>
  <si>
    <t>MCA</t>
  </si>
  <si>
    <t>23/06/2025 11:16</t>
  </si>
  <si>
    <t>Ashita Sharma</t>
  </si>
  <si>
    <t>PG Diploma in Computer Applications</t>
  </si>
  <si>
    <t>Riya</t>
  </si>
  <si>
    <t>29/05/2025</t>
  </si>
  <si>
    <t>14/07/2025 19:04</t>
  </si>
  <si>
    <t>Ujwal Tyagi</t>
  </si>
  <si>
    <t>28/05/2025</t>
  </si>
  <si>
    <t>27/06/2025 18:21</t>
  </si>
  <si>
    <t>Rohan Gupta</t>
  </si>
  <si>
    <t>Central Delhi</t>
  </si>
  <si>
    <t>17/08/2025 10:20</t>
  </si>
  <si>
    <t>Mohammed Farhan Siddiqui</t>
  </si>
  <si>
    <t>Manya Aggarwal</t>
  </si>
  <si>
    <t>East Delhi</t>
  </si>
  <si>
    <t>27/05/2025</t>
  </si>
  <si>
    <t>13/08/2025 18:47</t>
  </si>
  <si>
    <t>Parth Gupta</t>
  </si>
  <si>
    <t>Agra</t>
  </si>
  <si>
    <t>25/05/2025</t>
  </si>
  <si>
    <t>Jayant verma</t>
  </si>
  <si>
    <t>West Delhi</t>
  </si>
  <si>
    <t>B.Tech Artificial Intelligence</t>
  </si>
  <si>
    <t>AYUSH ROY</t>
  </si>
  <si>
    <t>19/06/2025 21:48</t>
  </si>
  <si>
    <t>Bhavya Dawar</t>
  </si>
  <si>
    <t>Kumar Ayushman</t>
  </si>
  <si>
    <t>15/06/2025 19:54</t>
  </si>
  <si>
    <t>Am</t>
  </si>
  <si>
    <t>24/05/2025</t>
  </si>
  <si>
    <t>Ayaan Aneja</t>
  </si>
  <si>
    <t>North West Delhi</t>
  </si>
  <si>
    <t>22/05/2025</t>
  </si>
  <si>
    <t>Integrated MBA</t>
  </si>
  <si>
    <t>PARIDHI GAUR</t>
  </si>
  <si>
    <t>21/05/2025</t>
  </si>
  <si>
    <t>13/08/2025 14:04</t>
  </si>
  <si>
    <t>DEVYANSH VERMA</t>
  </si>
  <si>
    <t>South West Delhi</t>
  </si>
  <si>
    <t>19/05/2025</t>
  </si>
  <si>
    <t>19/05/2025 20:59</t>
  </si>
  <si>
    <t>SAKSHI UPADHYAY</t>
  </si>
  <si>
    <t>Madhya Pradesh</t>
  </si>
  <si>
    <t>Indore</t>
  </si>
  <si>
    <t>PhD In Engineering, Applied Science, Law, Management and Media, Liberal Arts</t>
  </si>
  <si>
    <t>29/05/2025 18:13</t>
  </si>
  <si>
    <t>Amrit Dawer</t>
  </si>
  <si>
    <t>Punjab</t>
  </si>
  <si>
    <t>Ludhiana</t>
  </si>
  <si>
    <t>25/07/2025 20:10</t>
  </si>
  <si>
    <t>Sanya Batra</t>
  </si>
  <si>
    <t>Hapur</t>
  </si>
  <si>
    <t>18/05/2025</t>
  </si>
  <si>
    <t>18/05/2025 22:44</t>
  </si>
  <si>
    <t>Shlok Mukherjee</t>
  </si>
  <si>
    <t>18/07/2025 17:32</t>
  </si>
  <si>
    <t>Rudransh Arneja</t>
  </si>
  <si>
    <t>Ghaziabad</t>
  </si>
  <si>
    <t>Harsh Raj Singh</t>
  </si>
  <si>
    <t>Gargi Singh</t>
  </si>
  <si>
    <t>28/05/2025 17:55</t>
  </si>
  <si>
    <t>Rishu Jha</t>
  </si>
  <si>
    <t>B.Tech Electronics &amp; Communication Engineering</t>
  </si>
  <si>
    <t>13/05/2025 14:32</t>
  </si>
  <si>
    <t>Ridhima Singh</t>
  </si>
  <si>
    <t>BA Mass Communication</t>
  </si>
  <si>
    <t>ANANYA MULLICK</t>
  </si>
  <si>
    <t>28/04/2025</t>
  </si>
  <si>
    <t>BA Liberal Arts</t>
  </si>
  <si>
    <t>Praphulla Kumar</t>
  </si>
  <si>
    <t>27/04/2025</t>
  </si>
  <si>
    <t>M.Tech CSE</t>
  </si>
  <si>
    <t>13/06/2025 07:44</t>
  </si>
  <si>
    <t>Devesh Sharma</t>
  </si>
  <si>
    <t>South East Delhi</t>
  </si>
  <si>
    <t>26/04/2025</t>
  </si>
  <si>
    <t>Gaurav</t>
  </si>
  <si>
    <t>Sonipat</t>
  </si>
  <si>
    <t>24/04/2025</t>
  </si>
  <si>
    <t>Rayavarapu Mourthika Sasi</t>
  </si>
  <si>
    <t>Andhra Pradesh</t>
  </si>
  <si>
    <t>Mylavaram</t>
  </si>
  <si>
    <t>23/04/2025</t>
  </si>
  <si>
    <t>30/06/2025 13:27</t>
  </si>
  <si>
    <t>Keshav Kaushik</t>
  </si>
  <si>
    <t>Karnal</t>
  </si>
  <si>
    <t>21/04/2025</t>
  </si>
  <si>
    <t>21/04/2025 23:51</t>
  </si>
  <si>
    <t>AVNI MAHESHWARI</t>
  </si>
  <si>
    <t>B.Tech Engineering Physics</t>
  </si>
  <si>
    <t>Khanak Gupta</t>
  </si>
  <si>
    <t>20/05/2025 19:50</t>
  </si>
  <si>
    <t>Rohan Kumar Maharana</t>
  </si>
  <si>
    <t>Srishti Singh</t>
  </si>
  <si>
    <t>Atharv Lal</t>
  </si>
  <si>
    <t>21/08/2025 21:42</t>
  </si>
  <si>
    <t>Ryan Bhatnagar</t>
  </si>
  <si>
    <t>18/06/2025 15:59</t>
  </si>
  <si>
    <t>Ishitwa Gupta</t>
  </si>
  <si>
    <t>30/05/2025 14:24</t>
  </si>
  <si>
    <t>Tejas Bhatt</t>
  </si>
  <si>
    <t>B.Tech Electronics Engineering &amp; Computing</t>
  </si>
  <si>
    <t>28/07/2025 14:19</t>
  </si>
  <si>
    <t>Aarna</t>
  </si>
  <si>
    <t>BA Liberal Arts - Global</t>
  </si>
  <si>
    <t>24/07/2025 20:05</t>
  </si>
  <si>
    <t>Count of Lead Origin</t>
  </si>
  <si>
    <t>Count of Enrolment Status</t>
  </si>
  <si>
    <t>Average of Lead Score</t>
  </si>
  <si>
    <t>Max of Lead Score</t>
  </si>
  <si>
    <t>Row Labels</t>
  </si>
  <si>
    <t>Grand Total</t>
  </si>
  <si>
    <t>Count of Email Verification Status</t>
  </si>
  <si>
    <t>Count of Lead Origin2</t>
  </si>
  <si>
    <t>Count of Lead Stage</t>
  </si>
  <si>
    <t>Count of Lead Stage2</t>
  </si>
  <si>
    <t>(blank)</t>
  </si>
  <si>
    <t>Count of Registration Device</t>
  </si>
  <si>
    <t>Min of Lead Score</t>
  </si>
  <si>
    <t>Lead Day</t>
  </si>
  <si>
    <t>April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</si>
  <si>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</si>
  <si>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</si>
  <si>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</si>
  <si>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</si>
  <si>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</si>
  <si>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</si>
  <si>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</si>
  <si>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</si>
  <si>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</si>
  <si>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</si>
  <si>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Count of Name</t>
  </si>
  <si>
    <t>Monthly leads Trend</t>
  </si>
  <si>
    <t>Total Lead</t>
  </si>
  <si>
    <t>Enrollment Status</t>
  </si>
  <si>
    <t>Lead Score Average</t>
  </si>
  <si>
    <t xml:space="preserve">Maximum Lead Score </t>
  </si>
  <si>
    <t>Varification Status</t>
  </si>
  <si>
    <t>Registered Device Overview</t>
  </si>
  <si>
    <t>Lead performanace By States</t>
  </si>
  <si>
    <t>Lead performance by city</t>
  </si>
  <si>
    <t>Email Varification Status</t>
  </si>
  <si>
    <t>Lead Sources</t>
  </si>
  <si>
    <t>Lead Stages Summary</t>
  </si>
  <si>
    <t>Count of Mobile Verification Status</t>
  </si>
  <si>
    <t>Count of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</si>
</sst>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10" xfId="0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center" vertical="center"/>
    </xf>
    <xf numFmtId="0" fontId="19" fillId="34" borderId="20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 vertical="center"/>
    </xf>
    <xf numFmtId="0" fontId="19" fillId="34" borderId="22" xfId="0" applyFont="1" applyFill="1" applyBorder="1" applyAlignment="1">
      <alignment horizontal="center" vertical="center"/>
    </xf>
    <xf numFmtId="0" fontId="18" fillId="0" borderId="21" xfId="0" pivotButton="1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NumberFormat="1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10" fontId="0" fillId="0" borderId="27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21" xfId="0" pivotButton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9" fontId="0" fillId="0" borderId="24" xfId="0" applyNumberFormat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0" fontId="0" fillId="0" borderId="29" xfId="0" applyNumberFormat="1" applyBorder="1" applyAlignment="1">
      <alignment horizontal="center" vertical="center"/>
    </xf>
    <xf numFmtId="0" fontId="0" fillId="34" borderId="19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16" fillId="34" borderId="25" xfId="0" applyFont="1" applyFill="1" applyBorder="1" applyAlignment="1">
      <alignment horizontal="center" vertical="center"/>
    </xf>
    <xf numFmtId="0" fontId="16" fillId="34" borderId="19" xfId="0" applyFont="1" applyFill="1" applyBorder="1" applyAlignment="1">
      <alignment horizontal="center" vertical="center"/>
    </xf>
    <xf numFmtId="0" fontId="16" fillId="34" borderId="20" xfId="0" applyFont="1" applyFill="1" applyBorder="1" applyAlignment="1">
      <alignment horizontal="center" vertical="center"/>
    </xf>
    <xf numFmtId="0" fontId="16" fillId="34" borderId="28" xfId="0" applyFont="1" applyFill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10" fontId="0" fillId="0" borderId="0" xfId="42" applyNumberFormat="1" applyFont="1" applyAlignment="1">
      <alignment horizontal="center" vertical="center"/>
    </xf>
    <xf numFmtId="0" fontId="0" fillId="0" borderId="19" xfId="0" pivotButton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10" xfId="0" pivotButton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19" xfId="0" pivotButton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NumberForma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47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[Dump_Analysis_2.xlsx]Executive Overview!PivotTable13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'Executive Overview'!$C$25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Overview'!$B$26:$B$35</c:f>
              <c:strCache>
                <c:ptCount val="9"/>
                <c:pt idx="0">
                  <c:v>Andhra Pradesh</c:v>
                </c:pt>
                <c:pt idx="1">
                  <c:v>Rajasthan</c:v>
                </c:pt>
                <c:pt idx="2">
                  <c:v>Madhya Pradesh</c:v>
                </c:pt>
                <c:pt idx="3">
                  <c:v>Punjab</c:v>
                </c:pt>
                <c:pt idx="4">
                  <c:v>Bihar</c:v>
                </c:pt>
                <c:pt idx="5">
                  <c:v>Jharkhand</c:v>
                </c:pt>
                <c:pt idx="6">
                  <c:v>Haryana</c:v>
                </c:pt>
                <c:pt idx="7">
                  <c:v>Delhi</c:v>
                </c:pt>
                <c:pt idx="8">
                  <c:v>Uttar Pradesh</c:v>
                </c:pt>
              </c:strCache>
            </c:strRef>
          </c:cat>
          <c:val>
            <c:numRef>
              <c:f>'Executive Overview'!$C$26:$C$35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20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6-44BC-94BD-ED36C98E7BB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177022911"/>
        <c:axId val="1177023391"/>
      </c:barChart>
      <c:catAx>
        <c:axId val="117702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023391"/>
        <c:crosses val="autoZero"/>
        <c:auto val="1"/>
        <c:lblAlgn val="ctr"/>
        <c:lblOffset val="100"/>
        <c:noMultiLvlLbl val="0"/>
      </c:catAx>
      <c:valAx>
        <c:axId val="11770233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702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[Dump_Analysis_2.xlsx]Executive Overview!PivotTable14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Overview'!$C$41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Overview'!$B$42:$B$51</c:f>
              <c:strCache>
                <c:ptCount val="9"/>
                <c:pt idx="0">
                  <c:v>Faridabad</c:v>
                </c:pt>
                <c:pt idx="1">
                  <c:v>Ghaziabad</c:v>
                </c:pt>
                <c:pt idx="2">
                  <c:v>East Delhi</c:v>
                </c:pt>
                <c:pt idx="3">
                  <c:v>Agra</c:v>
                </c:pt>
                <c:pt idx="4">
                  <c:v>Patna</c:v>
                </c:pt>
                <c:pt idx="5">
                  <c:v>Ranchi</c:v>
                </c:pt>
                <c:pt idx="6">
                  <c:v>Greater Noida</c:v>
                </c:pt>
                <c:pt idx="7">
                  <c:v>Noida</c:v>
                </c:pt>
                <c:pt idx="8">
                  <c:v>New Delhi</c:v>
                </c:pt>
              </c:strCache>
            </c:strRef>
          </c:cat>
          <c:val>
            <c:numRef>
              <c:f>'Executive Overview'!$C$42:$C$51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9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A-4C60-B7B5-A107FD0C4E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777599"/>
        <c:axId val="1532781439"/>
      </c:barChart>
      <c:catAx>
        <c:axId val="153277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781439"/>
        <c:crosses val="autoZero"/>
        <c:auto val="1"/>
        <c:lblAlgn val="ctr"/>
        <c:lblOffset val="100"/>
        <c:noMultiLvlLbl val="0"/>
      </c:catAx>
      <c:valAx>
        <c:axId val="1532781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277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[Dump_Analysis_2.xlsx]Executive Overview!PivotTable15</c:name>
    <c:fmtId val="4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Overview'!$C$58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Overview'!$B$59:$B$67</c:f>
              <c:strCache>
                <c:ptCount val="8"/>
                <c:pt idx="0">
                  <c:v>B.Tech CSE</c:v>
                </c:pt>
                <c:pt idx="1">
                  <c:v>BBA</c:v>
                </c:pt>
                <c:pt idx="2">
                  <c:v>B.Tech Biotechnology</c:v>
                </c:pt>
                <c:pt idx="3">
                  <c:v>MBA</c:v>
                </c:pt>
                <c:pt idx="4">
                  <c:v>Integ. B.Tech and M.Tech Biotechnology</c:v>
                </c:pt>
                <c:pt idx="5">
                  <c:v>PG Diploma in Computer Applications</c:v>
                </c:pt>
                <c:pt idx="6">
                  <c:v>B.Tech Electronics &amp; Communication Engineering</c:v>
                </c:pt>
                <c:pt idx="7">
                  <c:v>BTECH AI</c:v>
                </c:pt>
              </c:strCache>
            </c:strRef>
          </c:cat>
          <c:val>
            <c:numRef>
              <c:f>'Executive Overview'!$C$59:$C$67</c:f>
              <c:numCache>
                <c:formatCode>General</c:formatCode>
                <c:ptCount val="8"/>
                <c:pt idx="0">
                  <c:v>25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3-4733-B8D5-768101D8B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2780479"/>
        <c:axId val="1532783839"/>
      </c:barChart>
      <c:catAx>
        <c:axId val="153278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783839"/>
        <c:crosses val="autoZero"/>
        <c:auto val="1"/>
        <c:lblAlgn val="ctr"/>
        <c:lblOffset val="100"/>
        <c:noMultiLvlLbl val="0"/>
      </c:catAx>
      <c:valAx>
        <c:axId val="153278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780479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[Dump_Analysis_2.xlsx]Monthly Trend!PivotTable2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'Monthly Trend'!$B$5:$B$16</c:f>
              <c:strCache>
                <c:ptCount val="11"/>
                <c:pt idx="0">
                  <c:v>September</c:v>
                </c:pt>
                <c:pt idx="1">
                  <c:v>October</c:v>
                </c:pt>
                <c:pt idx="2">
                  <c:v>February</c:v>
                </c:pt>
                <c:pt idx="3">
                  <c:v>January</c:v>
                </c:pt>
                <c:pt idx="4">
                  <c:v>March</c:v>
                </c:pt>
                <c:pt idx="5">
                  <c:v>April</c:v>
                </c:pt>
                <c:pt idx="6">
                  <c:v>November</c:v>
                </c:pt>
                <c:pt idx="7">
                  <c:v>July</c:v>
                </c:pt>
                <c:pt idx="8">
                  <c:v>August</c:v>
                </c:pt>
                <c:pt idx="9">
                  <c:v>May</c:v>
                </c:pt>
                <c:pt idx="10">
                  <c:v>June</c:v>
                </c:pt>
              </c:strCache>
            </c:strRef>
          </c:cat>
          <c:val>
            <c:numRef>
              <c:f>'Monthly Trend'!$C$5:$C$16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2-41CD-9BF3-4674C37856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19389120"/>
        <c:axId val="919390560"/>
      </c:lineChart>
      <c:catAx>
        <c:axId val="91938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90560"/>
        <c:crosses val="autoZero"/>
        <c:auto val="1"/>
        <c:lblAlgn val="ctr"/>
        <c:lblOffset val="100"/>
        <c:noMultiLvlLbl val="0"/>
      </c:catAx>
      <c:valAx>
        <c:axId val="919390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938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[Dump_Analysis_2.xlsx]Course Demand Analysis!PivotTable4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'Course Demand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'Course Demand Analysis'!$B$6:$B$16</c:f>
              <c:strCache>
                <c:ptCount val="10"/>
                <c:pt idx="0">
                  <c:v>B.Design</c:v>
                </c:pt>
                <c:pt idx="1">
                  <c:v>B.Tech Artificial Intelligence</c:v>
                </c:pt>
                <c:pt idx="2">
                  <c:v>B.Tech Electronics &amp; Communication Engineering</c:v>
                </c:pt>
                <c:pt idx="3">
                  <c:v>BTECH AI</c:v>
                </c:pt>
                <c:pt idx="4">
                  <c:v>PG Diploma in Computer Applications</c:v>
                </c:pt>
                <c:pt idx="5">
                  <c:v>MBA</c:v>
                </c:pt>
                <c:pt idx="6">
                  <c:v>Integ. B.Tech and M.Tech Biotechnology</c:v>
                </c:pt>
                <c:pt idx="7">
                  <c:v>B.Tech Biotechnology</c:v>
                </c:pt>
                <c:pt idx="8">
                  <c:v>BBA</c:v>
                </c:pt>
                <c:pt idx="9">
                  <c:v>B.Tech CSE</c:v>
                </c:pt>
              </c:strCache>
            </c:strRef>
          </c:cat>
          <c:val>
            <c:numRef>
              <c:f>'Course Demand Analysis'!$C$6:$C$16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5-40FC-8B8B-840AB795D9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05039776"/>
        <c:axId val="1905056576"/>
      </c:barChart>
      <c:catAx>
        <c:axId val="190503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056576"/>
        <c:crosses val="autoZero"/>
        <c:auto val="1"/>
        <c:lblAlgn val="ctr"/>
        <c:lblOffset val="100"/>
        <c:noMultiLvlLbl val="0"/>
      </c:catAx>
      <c:valAx>
        <c:axId val="1905056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0503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21</xdr:row>
      <xdr:rowOff>106680</xdr:rowOff>
    </xdr:from>
    <xdr:to>
      <xdr:col>7</xdr:col>
      <xdr:colOff>19050</xdr:colOff>
      <xdr:row>36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41E78-602A-AF88-B282-143F2B9F5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38</xdr:row>
      <xdr:rowOff>18097</xdr:rowOff>
    </xdr:from>
    <xdr:to>
      <xdr:col>7</xdr:col>
      <xdr:colOff>62865</xdr:colOff>
      <xdr:row>52</xdr:row>
      <xdr:rowOff>94297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B8DF67-1072-7F72-B577-54DEF7C48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148590</xdr:colOff>
      <xdr:row>55</xdr:row>
      <xdr:rowOff>16192</xdr:rowOff>
    </xdr:from>
    <xdr:to>
      <xdr:col>7</xdr:col>
      <xdr:colOff>674370</xdr:colOff>
      <xdr:row>69</xdr:row>
      <xdr:rowOff>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7359FF-2D0F-2064-C11D-72B87FC47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952500</xdr:colOff>
      <xdr:row>23</xdr:row>
      <xdr:rowOff>152400</xdr:rowOff>
    </xdr:from>
    <xdr:to>
      <xdr:col>8</xdr:col>
      <xdr:colOff>1638300</xdr:colOff>
      <xdr:row>27</xdr:row>
      <xdr:rowOff>91440</xdr:rowOff>
    </xdr:to>
    <xdr:sp macro="" textlink="$B$1">
      <xdr:nvSpPr>
        <xdr:cNvPr id="5" name="Rectangle: Rounded Corners 4">
          <a:extLst>
            <a:ext uri="{FF2B5EF4-FFF2-40B4-BE49-F238E27FC236}">
              <a16:creationId xmlns:a16="http://schemas.microsoft.com/office/drawing/2014/main" id="{25F315A2-C7D3-8281-3CC7-901C8A5665F8}"/>
            </a:ext>
          </a:extLst>
        </xdr:cNvPr>
        <xdr:cNvSpPr/>
      </xdr:nvSpPr>
      <xdr:spPr>
        <a:xfrm>
          <a:off x="9235440" y="4465320"/>
          <a:ext cx="2042160" cy="67056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58E36ED-7D74-46F5-8B46-9D4101A4CE44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56</a:t>
          </a:fld>
          <a:endParaRPr lang="en-US" sz="2400" b="1"/>
        </a:p>
      </xdr:txBody>
    </xdr:sp>
    <xdr:clientData/>
  </xdr:twoCellAnchor>
  <xdr:twoCellAnchor>
    <xdr:from>
      <xdr:col>7</xdr:col>
      <xdr:colOff>1021080</xdr:colOff>
      <xdr:row>23</xdr:row>
      <xdr:rowOff>7620</xdr:rowOff>
    </xdr:from>
    <xdr:to>
      <xdr:col>8</xdr:col>
      <xdr:colOff>1562100</xdr:colOff>
      <xdr:row>24</xdr:row>
      <xdr:rowOff>144780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B29154-6551-9934-1723-7AB699548DDA}"/>
            </a:ext>
          </a:extLst>
        </xdr:cNvPr>
        <xdr:cNvSpPr txBox="1"/>
      </xdr:nvSpPr>
      <xdr:spPr>
        <a:xfrm>
          <a:off x="9304020" y="4320540"/>
          <a:ext cx="1897380" cy="32004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Total</a:t>
          </a:r>
          <a:r>
            <a:rPr lang="en-US" sz="1100" b="1" baseline="0">
              <a:solidFill>
                <a:sysClr val="windowText" lastClr="000000"/>
              </a:solidFill>
            </a:rPr>
            <a:t> Lead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121920</xdr:colOff>
      <xdr:row>23</xdr:row>
      <xdr:rowOff>121920</xdr:rowOff>
    </xdr:from>
    <xdr:to>
      <xdr:col>11</xdr:col>
      <xdr:colOff>160020</xdr:colOff>
      <xdr:row>27</xdr:row>
      <xdr:rowOff>60960</xdr:rowOff>
    </xdr:to>
    <xdr:sp macro="" textlink="$H$7">
      <xdr:nvSpPr>
        <xdr:cNvPr id="7" name="Rectangle: Rounded Corners 6">
          <a:extLst>
            <a:ext uri="{FF2B5EF4-FFF2-40B4-BE49-F238E27FC236}">
              <a16:creationId xmlns:a16="http://schemas.microsoft.com/office/drawing/2014/main" id="{C59A29A5-0C14-483C-ADFE-99403C5195E2}"/>
            </a:ext>
          </a:extLst>
        </xdr:cNvPr>
        <xdr:cNvSpPr/>
      </xdr:nvSpPr>
      <xdr:spPr>
        <a:xfrm>
          <a:off x="11826240" y="4434840"/>
          <a:ext cx="2042160" cy="67056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1F73B800-62E9-4B57-93A9-ACD4638F1A93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58.93%</a:t>
          </a:fld>
          <a:endParaRPr lang="en-US" sz="2400" b="1"/>
        </a:p>
      </xdr:txBody>
    </xdr:sp>
    <xdr:clientData/>
  </xdr:twoCellAnchor>
  <xdr:twoCellAnchor>
    <xdr:from>
      <xdr:col>9</xdr:col>
      <xdr:colOff>190500</xdr:colOff>
      <xdr:row>22</xdr:row>
      <xdr:rowOff>167640</xdr:rowOff>
    </xdr:from>
    <xdr:to>
      <xdr:col>11</xdr:col>
      <xdr:colOff>83820</xdr:colOff>
      <xdr:row>24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65CEDCE-F4AD-4D15-BCB5-32143A91DD39}"/>
            </a:ext>
          </a:extLst>
        </xdr:cNvPr>
        <xdr:cNvSpPr txBox="1"/>
      </xdr:nvSpPr>
      <xdr:spPr>
        <a:xfrm>
          <a:off x="11894820" y="4290060"/>
          <a:ext cx="1897380" cy="32004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API Origin</a:t>
          </a:r>
        </a:p>
      </xdr:txBody>
    </xdr:sp>
    <xdr:clientData/>
  </xdr:twoCellAnchor>
  <xdr:twoCellAnchor>
    <xdr:from>
      <xdr:col>7</xdr:col>
      <xdr:colOff>998220</xdr:colOff>
      <xdr:row>30</xdr:row>
      <xdr:rowOff>53340</xdr:rowOff>
    </xdr:from>
    <xdr:to>
      <xdr:col>8</xdr:col>
      <xdr:colOff>1684020</xdr:colOff>
      <xdr:row>33</xdr:row>
      <xdr:rowOff>175260</xdr:rowOff>
    </xdr:to>
    <xdr:sp macro="" textlink="$B$7">
      <xdr:nvSpPr>
        <xdr:cNvPr id="9" name="Rectangle: Rounded Corners 8">
          <a:extLst>
            <a:ext uri="{FF2B5EF4-FFF2-40B4-BE49-F238E27FC236}">
              <a16:creationId xmlns:a16="http://schemas.microsoft.com/office/drawing/2014/main" id="{4B926158-4C6B-4156-AFEA-082DA746CB5D}"/>
            </a:ext>
          </a:extLst>
        </xdr:cNvPr>
        <xdr:cNvSpPr/>
      </xdr:nvSpPr>
      <xdr:spPr>
        <a:xfrm>
          <a:off x="9281160" y="5646420"/>
          <a:ext cx="2042160" cy="67056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8762667C-832B-4A36-B834-1E7C2D3C7A02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100%</a:t>
          </a:fld>
          <a:endParaRPr lang="en-US" sz="2400" b="1"/>
        </a:p>
      </xdr:txBody>
    </xdr:sp>
    <xdr:clientData/>
  </xdr:twoCellAnchor>
  <xdr:twoCellAnchor>
    <xdr:from>
      <xdr:col>7</xdr:col>
      <xdr:colOff>1066800</xdr:colOff>
      <xdr:row>29</xdr:row>
      <xdr:rowOff>91440</xdr:rowOff>
    </xdr:from>
    <xdr:to>
      <xdr:col>8</xdr:col>
      <xdr:colOff>1607820</xdr:colOff>
      <xdr:row>31</xdr:row>
      <xdr:rowOff>45720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3B6F23-CD07-434A-847B-62BEBC320D63}"/>
            </a:ext>
          </a:extLst>
        </xdr:cNvPr>
        <xdr:cNvSpPr txBox="1"/>
      </xdr:nvSpPr>
      <xdr:spPr>
        <a:xfrm>
          <a:off x="9349740" y="5501640"/>
          <a:ext cx="1897380" cy="32004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Enrollment</a:t>
          </a:r>
          <a:r>
            <a:rPr lang="en-US" sz="1100" b="1" baseline="0">
              <a:solidFill>
                <a:sysClr val="windowText" lastClr="000000"/>
              </a:solidFill>
            </a:rPr>
            <a:t> Rate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121920</xdr:colOff>
      <xdr:row>30</xdr:row>
      <xdr:rowOff>68580</xdr:rowOff>
    </xdr:from>
    <xdr:to>
      <xdr:col>11</xdr:col>
      <xdr:colOff>160020</xdr:colOff>
      <xdr:row>34</xdr:row>
      <xdr:rowOff>7620</xdr:rowOff>
    </xdr:to>
    <xdr:sp macro="" textlink="$I$7">
      <xdr:nvSpPr>
        <xdr:cNvPr id="11" name="Rectangle: Rounded Corners 10">
          <a:extLst>
            <a:ext uri="{FF2B5EF4-FFF2-40B4-BE49-F238E27FC236}">
              <a16:creationId xmlns:a16="http://schemas.microsoft.com/office/drawing/2014/main" id="{F74406F1-0424-4818-9310-545624F05CA0}"/>
            </a:ext>
          </a:extLst>
        </xdr:cNvPr>
        <xdr:cNvSpPr/>
      </xdr:nvSpPr>
      <xdr:spPr>
        <a:xfrm>
          <a:off x="11826240" y="5661660"/>
          <a:ext cx="2042160" cy="67056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F85488A7-3338-4118-A907-C69FB830AC8B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41.07%</a:t>
          </a:fld>
          <a:endParaRPr lang="en-US" sz="2400" b="1"/>
        </a:p>
      </xdr:txBody>
    </xdr:sp>
    <xdr:clientData/>
  </xdr:twoCellAnchor>
  <xdr:twoCellAnchor>
    <xdr:from>
      <xdr:col>9</xdr:col>
      <xdr:colOff>190500</xdr:colOff>
      <xdr:row>29</xdr:row>
      <xdr:rowOff>106680</xdr:rowOff>
    </xdr:from>
    <xdr:to>
      <xdr:col>11</xdr:col>
      <xdr:colOff>83820</xdr:colOff>
      <xdr:row>31</xdr:row>
      <xdr:rowOff>60960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80D482-63F1-4911-8160-5F1F5ADBC55F}"/>
            </a:ext>
          </a:extLst>
        </xdr:cNvPr>
        <xdr:cNvSpPr txBox="1"/>
      </xdr:nvSpPr>
      <xdr:spPr>
        <a:xfrm>
          <a:off x="11894820" y="5516880"/>
          <a:ext cx="1897380" cy="32004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Online Origin</a:t>
          </a:r>
        </a:p>
      </xdr:txBody>
    </xdr:sp>
    <xdr:clientData/>
  </xdr:twoCellAnchor>
  <xdr:twoCellAnchor>
    <xdr:from>
      <xdr:col>9</xdr:col>
      <xdr:colOff>83820</xdr:colOff>
      <xdr:row>36</xdr:row>
      <xdr:rowOff>38100</xdr:rowOff>
    </xdr:from>
    <xdr:to>
      <xdr:col>11</xdr:col>
      <xdr:colOff>121920</xdr:colOff>
      <xdr:row>39</xdr:row>
      <xdr:rowOff>160020</xdr:rowOff>
    </xdr:to>
    <xdr:sp macro="" textlink="$B$74">
      <xdr:nvSpPr>
        <xdr:cNvPr id="13" name="Rectangle: Rounded Corners 12">
          <a:extLst>
            <a:ext uri="{FF2B5EF4-FFF2-40B4-BE49-F238E27FC236}">
              <a16:creationId xmlns:a16="http://schemas.microsoft.com/office/drawing/2014/main" id="{42F843BC-FABC-404E-9594-2BDFA3A9F8D2}"/>
            </a:ext>
          </a:extLst>
        </xdr:cNvPr>
        <xdr:cNvSpPr/>
      </xdr:nvSpPr>
      <xdr:spPr>
        <a:xfrm>
          <a:off x="11788140" y="6736080"/>
          <a:ext cx="2042160" cy="67056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15D910B4-7062-4714-98B0-7918320292F7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100%</a:t>
          </a:fld>
          <a:endParaRPr lang="en-US" sz="2400" b="1"/>
        </a:p>
      </xdr:txBody>
    </xdr:sp>
    <xdr:clientData/>
  </xdr:twoCellAnchor>
  <xdr:twoCellAnchor>
    <xdr:from>
      <xdr:col>9</xdr:col>
      <xdr:colOff>152400</xdr:colOff>
      <xdr:row>35</xdr:row>
      <xdr:rowOff>76200</xdr:rowOff>
    </xdr:from>
    <xdr:to>
      <xdr:col>11</xdr:col>
      <xdr:colOff>45720</xdr:colOff>
      <xdr:row>37</xdr:row>
      <xdr:rowOff>30480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B29BB55-E498-44C1-A4DF-89813C0475CC}"/>
            </a:ext>
          </a:extLst>
        </xdr:cNvPr>
        <xdr:cNvSpPr txBox="1"/>
      </xdr:nvSpPr>
      <xdr:spPr>
        <a:xfrm>
          <a:off x="11856720" y="6591300"/>
          <a:ext cx="1897380" cy="32004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Mobile Varification</a:t>
          </a:r>
        </a:p>
      </xdr:txBody>
    </xdr:sp>
    <xdr:clientData/>
  </xdr:twoCellAnchor>
  <xdr:twoCellAnchor>
    <xdr:from>
      <xdr:col>9</xdr:col>
      <xdr:colOff>0</xdr:colOff>
      <xdr:row>42</xdr:row>
      <xdr:rowOff>22860</xdr:rowOff>
    </xdr:from>
    <xdr:to>
      <xdr:col>11</xdr:col>
      <xdr:colOff>38100</xdr:colOff>
      <xdr:row>45</xdr:row>
      <xdr:rowOff>144780</xdr:rowOff>
    </xdr:to>
    <xdr:sp macro="" textlink="$H$1">
      <xdr:nvSpPr>
        <xdr:cNvPr id="15" name="Rectangle: Rounded Corners 14">
          <a:extLst>
            <a:ext uri="{FF2B5EF4-FFF2-40B4-BE49-F238E27FC236}">
              <a16:creationId xmlns:a16="http://schemas.microsoft.com/office/drawing/2014/main" id="{AD6EFCC5-CDAB-48CC-815C-BC551C060845}"/>
            </a:ext>
          </a:extLst>
        </xdr:cNvPr>
        <xdr:cNvSpPr/>
      </xdr:nvSpPr>
      <xdr:spPr>
        <a:xfrm>
          <a:off x="11704320" y="7818120"/>
          <a:ext cx="2042160" cy="67056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995EB5B-D5AE-4528-BC4D-901AB666EA85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t>55.36%</a:t>
          </a:fld>
          <a:endParaRPr lang="en-US" sz="4800" b="1"/>
        </a:p>
      </xdr:txBody>
    </xdr:sp>
    <xdr:clientData/>
  </xdr:twoCellAnchor>
  <xdr:twoCellAnchor>
    <xdr:from>
      <xdr:col>9</xdr:col>
      <xdr:colOff>68580</xdr:colOff>
      <xdr:row>41</xdr:row>
      <xdr:rowOff>60960</xdr:rowOff>
    </xdr:from>
    <xdr:to>
      <xdr:col>10</xdr:col>
      <xdr:colOff>571500</xdr:colOff>
      <xdr:row>43</xdr:row>
      <xdr:rowOff>15240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4B91B5A-7C7E-4F0F-A600-155D5BD40305}"/>
            </a:ext>
          </a:extLst>
        </xdr:cNvPr>
        <xdr:cNvSpPr txBox="1"/>
      </xdr:nvSpPr>
      <xdr:spPr>
        <a:xfrm>
          <a:off x="11772900" y="7673340"/>
          <a:ext cx="1897380" cy="32004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Email</a:t>
          </a:r>
          <a:r>
            <a:rPr lang="en-US" sz="1100" b="1" baseline="0">
              <a:solidFill>
                <a:sysClr val="windowText" lastClr="000000"/>
              </a:solidFill>
            </a:rPr>
            <a:t> Varification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944880</xdr:colOff>
      <xdr:row>36</xdr:row>
      <xdr:rowOff>53340</xdr:rowOff>
    </xdr:from>
    <xdr:to>
      <xdr:col>8</xdr:col>
      <xdr:colOff>1630680</xdr:colOff>
      <xdr:row>39</xdr:row>
      <xdr:rowOff>175260</xdr:rowOff>
    </xdr:to>
    <xdr:sp macro="" textlink="$B$12">
      <xdr:nvSpPr>
        <xdr:cNvPr id="17" name="Rectangle: Rounded Corners 16">
          <a:extLst>
            <a:ext uri="{FF2B5EF4-FFF2-40B4-BE49-F238E27FC236}">
              <a16:creationId xmlns:a16="http://schemas.microsoft.com/office/drawing/2014/main" id="{5E6C7483-90D1-47A6-BAC0-3EF8F1AA34F2}"/>
            </a:ext>
          </a:extLst>
        </xdr:cNvPr>
        <xdr:cNvSpPr/>
      </xdr:nvSpPr>
      <xdr:spPr>
        <a:xfrm>
          <a:off x="9227820" y="6751320"/>
          <a:ext cx="2042160" cy="67056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5BD75ECA-A360-4C7B-AF2F-563F3A7E9D8F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91.9</a:t>
          </a:fld>
          <a:endParaRPr lang="en-US" sz="2400" b="1"/>
        </a:p>
      </xdr:txBody>
    </xdr:sp>
    <xdr:clientData/>
  </xdr:twoCellAnchor>
  <xdr:twoCellAnchor>
    <xdr:from>
      <xdr:col>7</xdr:col>
      <xdr:colOff>1013460</xdr:colOff>
      <xdr:row>35</xdr:row>
      <xdr:rowOff>91440</xdr:rowOff>
    </xdr:from>
    <xdr:to>
      <xdr:col>8</xdr:col>
      <xdr:colOff>1554480</xdr:colOff>
      <xdr:row>37</xdr:row>
      <xdr:rowOff>45720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B4F6273-FB47-43D1-B96B-727F7E8970C9}"/>
            </a:ext>
          </a:extLst>
        </xdr:cNvPr>
        <xdr:cNvSpPr txBox="1"/>
      </xdr:nvSpPr>
      <xdr:spPr>
        <a:xfrm>
          <a:off x="9296400" y="6606540"/>
          <a:ext cx="1897380" cy="32004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Average Lead Score</a:t>
          </a:r>
        </a:p>
      </xdr:txBody>
    </xdr:sp>
    <xdr:clientData/>
  </xdr:twoCellAnchor>
  <xdr:twoCellAnchor>
    <xdr:from>
      <xdr:col>7</xdr:col>
      <xdr:colOff>914400</xdr:colOff>
      <xdr:row>42</xdr:row>
      <xdr:rowOff>38100</xdr:rowOff>
    </xdr:from>
    <xdr:to>
      <xdr:col>8</xdr:col>
      <xdr:colOff>1600200</xdr:colOff>
      <xdr:row>45</xdr:row>
      <xdr:rowOff>160020</xdr:rowOff>
    </xdr:to>
    <xdr:sp macro="" textlink="$B$16">
      <xdr:nvSpPr>
        <xdr:cNvPr id="19" name="Rectangle: Rounded Corners 18">
          <a:extLst>
            <a:ext uri="{FF2B5EF4-FFF2-40B4-BE49-F238E27FC236}">
              <a16:creationId xmlns:a16="http://schemas.microsoft.com/office/drawing/2014/main" id="{79ABACE2-D92F-4A81-85BE-CCFF4CD2EEA8}"/>
            </a:ext>
          </a:extLst>
        </xdr:cNvPr>
        <xdr:cNvSpPr/>
      </xdr:nvSpPr>
      <xdr:spPr>
        <a:xfrm>
          <a:off x="9197340" y="7833360"/>
          <a:ext cx="2042160" cy="670560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548F1EE-A301-4B95-B3A3-CB8FC239E642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163</a:t>
          </a:fld>
          <a:endParaRPr lang="en-US" sz="2400" b="1"/>
        </a:p>
      </xdr:txBody>
    </xdr:sp>
    <xdr:clientData/>
  </xdr:twoCellAnchor>
  <xdr:twoCellAnchor>
    <xdr:from>
      <xdr:col>7</xdr:col>
      <xdr:colOff>982980</xdr:colOff>
      <xdr:row>41</xdr:row>
      <xdr:rowOff>76200</xdr:rowOff>
    </xdr:from>
    <xdr:to>
      <xdr:col>8</xdr:col>
      <xdr:colOff>1524000</xdr:colOff>
      <xdr:row>43</xdr:row>
      <xdr:rowOff>30480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095E0C3-2BCA-4765-8FB8-F15A03832E9E}"/>
            </a:ext>
          </a:extLst>
        </xdr:cNvPr>
        <xdr:cNvSpPr txBox="1"/>
      </xdr:nvSpPr>
      <xdr:spPr>
        <a:xfrm>
          <a:off x="9265920" y="7688580"/>
          <a:ext cx="1897380" cy="32004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Max Lead Score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1</xdr:row>
      <xdr:rowOff>148590</xdr:rowOff>
    </xdr:from>
    <xdr:to>
      <xdr:col>13</xdr:col>
      <xdr:colOff>144780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8DC8B-54EA-595B-4742-EFCD2E2B8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160020</xdr:rowOff>
    </xdr:from>
    <xdr:to>
      <xdr:col>11</xdr:col>
      <xdr:colOff>472440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50811-FA68-9F15-CA91-A282225DD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Pratap Vishwakarma" refreshedDate="46117.708409953702" createdVersion="8" refreshedVersion="8" minRefreshableVersion="3" recordCount="56" xr:uid="{9E3BC52C-9213-4D10-ADE3-4E7E64C805F7}">
  <cacheSource type="worksheet">
    <worksheetSource ref="A1:U57" sheet="College2_Dump"/>
  </cacheSource>
  <cacheFields count="21">
    <cacheField name="Name" numFmtId="0">
      <sharedItems/>
    </cacheField>
    <cacheField name="Lead Origin" numFmtId="0">
      <sharedItems count="2">
        <s v="Online"/>
        <s v="API"/>
      </sharedItems>
    </cacheField>
    <cacheField name="Country" numFmtId="0">
      <sharedItems/>
    </cacheField>
    <cacheField name="State" numFmtId="0">
      <sharedItems count="9">
        <s v="Haryana"/>
        <s v="Uttar Pradesh"/>
        <s v="Delhi"/>
        <s v="Rajasthan"/>
        <s v="Jharkhand"/>
        <s v="Bihar"/>
        <s v="Madhya Pradesh"/>
        <s v="Punjab"/>
        <s v="Andhra Pradesh"/>
      </sharedItems>
    </cacheField>
    <cacheField name="City" numFmtId="0">
      <sharedItems count="24">
        <s v="Faridabad"/>
        <s v="Noida"/>
        <s v="New Delhi"/>
        <s v="Meerut"/>
        <s v="Aligarh"/>
        <s v="Jaipur"/>
        <s v="Ranchi"/>
        <s v="Orai"/>
        <s v="Patna"/>
        <s v="Greater Noida"/>
        <s v="Central Delhi"/>
        <s v="East Delhi"/>
        <s v="Agra"/>
        <s v="West Delhi"/>
        <s v="North West Delhi"/>
        <s v="South West Delhi"/>
        <s v="Indore"/>
        <s v="Ludhiana"/>
        <s v="Hapur"/>
        <s v="Ghaziabad"/>
        <s v="South East Delhi"/>
        <s v="Sonipat"/>
        <s v="Mylavaram"/>
        <s v="Karnal"/>
      </sharedItems>
    </cacheField>
    <cacheField name="Instance" numFmtId="0">
      <sharedItems/>
    </cacheField>
    <cacheField name="Instance Date" numFmtId="0">
      <sharedItems containsDate="1" containsMixedTypes="1" minDate="2025-01-07T00:00:00" maxDate="2025-12-06T00:00:00"/>
    </cacheField>
    <cacheField name="Lead Stage" numFmtId="0">
      <sharedItems count="2">
        <s v="Applied"/>
        <s v="Untouched And Applied"/>
      </sharedItems>
    </cacheField>
    <cacheField name="Lead Status" numFmtId="0">
      <sharedItems/>
    </cacheField>
    <cacheField name="Email Verification Status" numFmtId="0">
      <sharedItems count="2">
        <s v="Yes"/>
        <s v="No"/>
      </sharedItems>
    </cacheField>
    <cacheField name="Mobile Verification Status" numFmtId="0">
      <sharedItems count="1">
        <s v="Yes"/>
      </sharedItems>
    </cacheField>
    <cacheField name="Lead Score" numFmtId="0">
      <sharedItems containsSemiMixedTypes="0" containsString="0" containsNumber="1" containsInteger="1" minValue="36" maxValue="163"/>
    </cacheField>
    <cacheField name="Registration Device" numFmtId="0">
      <sharedItems containsBlank="1" count="3">
        <s v="Desktop"/>
        <m/>
        <s v="Mobile"/>
      </sharedItems>
    </cacheField>
    <cacheField name="Course" numFmtId="0">
      <sharedItems count="20">
        <s v="B.Tech CSE"/>
        <s v="BBA"/>
        <s v="B.Tech Biotechnology"/>
        <s v="BTECH AI"/>
        <s v="MBA"/>
        <s v="B.Design"/>
        <s v="B.Tech Mechanical Engineering"/>
        <s v="Integ. B.Tech and M.Tech Biotechnology"/>
        <s v="MCA"/>
        <s v="PG Diploma in Computer Applications"/>
        <s v="B.Tech Artificial Intelligence"/>
        <s v="Integrated MBA"/>
        <s v="PhD In Engineering, Applied Science, Law, Management and Media, Liberal Arts"/>
        <s v="B.Tech Electronics &amp; Communication Engineering"/>
        <s v="BA Mass Communication"/>
        <s v="BA Liberal Arts"/>
        <s v="M.Tech CSE"/>
        <s v="B.Tech Engineering Physics"/>
        <s v="B.Tech Electronics Engineering &amp; Computing"/>
        <s v="BA Liberal Arts - Global"/>
      </sharedItems>
    </cacheField>
    <cacheField name="Specialization" numFmtId="0">
      <sharedItems/>
    </cacheField>
    <cacheField name="Campus" numFmtId="0">
      <sharedItems/>
    </cacheField>
    <cacheField name="Last Lead Activity Date" numFmtId="0">
      <sharedItems containsDate="1" containsMixedTypes="1" minDate="2025-01-08T16:38:00" maxDate="2025-11-08T15:13:00"/>
    </cacheField>
    <cacheField name="Lead Day" numFmtId="0">
      <sharedItems/>
    </cacheField>
    <cacheField name="Form Initiated" numFmtId="0">
      <sharedItems containsSemiMixedTypes="0" containsString="0" containsNumber="1" containsInteger="1" minValue="1" maxValue="3"/>
    </cacheField>
    <cacheField name="Paid Applications" numFmtId="0">
      <sharedItems containsSemiMixedTypes="0" containsString="0" containsNumber="1" containsInteger="1" minValue="1" maxValue="3"/>
    </cacheField>
    <cacheField name="Enrolmen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ay Pratap Vishwakarma" refreshedDate="46117.744245717593" backgroundQuery="1" createdVersion="8" refreshedVersion="8" minRefreshableVersion="3" recordCount="0" supportSubquery="1" supportAdvancedDrill="1" xr:uid="{D34C0A38-76EC-4EF8-B475-0751CF635A3E}">
  <cacheSource type="external" connectionId="1"/>
  <cacheFields count="2">
    <cacheField name="[Table1].[Mobile Verification Status].[Mobile Verification Status]" caption="Mobile Verification Status" numFmtId="0" hierarchy="10" level="1">
      <sharedItems count="1">
        <s v="Yes"/>
      </sharedItems>
    </cacheField>
    <cacheField name="[Measures].[Count of Mobile Verification Status]" caption="Count of Mobile Verification Status" numFmtId="0" hierarchy="24" level="32767"/>
  </cacheFields>
  <cacheHierarchies count="26"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Lead Origin]" caption="Lead Origin" attribute="1" defaultMemberUniqueName="[Table1].[Lead Origin].[All]" allUniqueName="[Table1].[Lead Origin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Instance]" caption="Instance" attribute="1" defaultMemberUniqueName="[Table1].[Instance].[All]" allUniqueName="[Table1].[Instance].[All]" dimensionUniqueName="[Table1]" displayFolder="" count="0" memberValueDatatype="130" unbalanced="0"/>
    <cacheHierarchy uniqueName="[Table1].[Instance Date]" caption="Instance Date" attribute="1" defaultMemberUniqueName="[Table1].[Instance Date].[All]" allUniqueName="[Table1].[Instance Date].[All]" dimensionUniqueName="[Table1]" displayFolder="" count="0" memberValueDatatype="130" unbalanced="0"/>
    <cacheHierarchy uniqueName="[Table1].[Lead Stage]" caption="Lead Stage" attribute="1" defaultMemberUniqueName="[Table1].[Lead Stage].[All]" allUniqueName="[Table1].[Lead Stage].[All]" dimensionUniqueName="[Table1]" displayFolder="" count="0" memberValueDatatype="130" unbalanced="0"/>
    <cacheHierarchy uniqueName="[Table1].[Lead Status]" caption="Lead Status" attribute="1" defaultMemberUniqueName="[Table1].[Lead Status].[All]" allUniqueName="[Table1].[Lead Status].[All]" dimensionUniqueName="[Table1]" displayFolder="" count="0" memberValueDatatype="130" unbalanced="0"/>
    <cacheHierarchy uniqueName="[Table1].[Email Verification Status]" caption="Email Verification Status" attribute="1" defaultMemberUniqueName="[Table1].[Email Verification Status].[All]" allUniqueName="[Table1].[Email Verification Status].[All]" dimensionUniqueName="[Table1]" displayFolder="" count="0" memberValueDatatype="130" unbalanced="0"/>
    <cacheHierarchy uniqueName="[Table1].[Mobile Verification Status]" caption="Mobile Verification Status" attribute="1" defaultMemberUniqueName="[Table1].[Mobile Verification Status].[All]" allUniqueName="[Table1].[Mobile Verification 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Lead Score]" caption="Lead Score" attribute="1" defaultMemberUniqueName="[Table1].[Lead Score].[All]" allUniqueName="[Table1].[Lead Score].[All]" dimensionUniqueName="[Table1]" displayFolder="" count="0" memberValueDatatype="20" unbalanced="0"/>
    <cacheHierarchy uniqueName="[Table1].[Registration Device]" caption="Registration Device" attribute="1" defaultMemberUniqueName="[Table1].[Registration Device].[All]" allUniqueName="[Table1].[Registration Device].[All]" dimensionUniqueName="[Table1]" displayFolder="" count="0" memberValueDatatype="130" unbalanced="0"/>
    <cacheHierarchy uniqueName="[Table1].[Course]" caption="Course" attribute="1" defaultMemberUniqueName="[Table1].[Course].[All]" allUniqueName="[Table1].[Course].[All]" dimensionUniqueName="[Table1]" displayFolder="" count="0" memberValueDatatype="130" unbalanced="0"/>
    <cacheHierarchy uniqueName="[Table1].[Specialization]" caption="Specialization" attribute="1" defaultMemberUniqueName="[Table1].[Specialization].[All]" allUniqueName="[Table1].[Specialization].[All]" dimensionUniqueName="[Table1]" displayFolder="" count="0" memberValueDatatype="130" unbalanced="0"/>
    <cacheHierarchy uniqueName="[Table1].[Campus]" caption="Campus" attribute="1" defaultMemberUniqueName="[Table1].[Campus].[All]" allUniqueName="[Table1].[Campus].[All]" dimensionUniqueName="[Table1]" displayFolder="" count="0" memberValueDatatype="130" unbalanced="0"/>
    <cacheHierarchy uniqueName="[Table1].[Last Lead Activity Date]" caption="Last Lead Activity Date" attribute="1" defaultMemberUniqueName="[Table1].[Last Lead Activity Date].[All]" allUniqueName="[Table1].[Last Lead Activity Date].[All]" dimensionUniqueName="[Table1]" displayFolder="" count="0" memberValueDatatype="130" unbalanced="0"/>
    <cacheHierarchy uniqueName="[Table1].[Lead Day]" caption="Lead Day" attribute="1" defaultMemberUniqueName="[Table1].[Lead Day].[All]" allUniqueName="[Table1].[Lead Day].[All]" dimensionUniqueName="[Table1]" displayFolder="" count="0" memberValueDatatype="130" unbalanced="0"/>
    <cacheHierarchy uniqueName="[Table1].[Form Initiated]" caption="Form Initiated" attribute="1" defaultMemberUniqueName="[Table1].[Form Initiated].[All]" allUniqueName="[Table1].[Form Initiated].[All]" dimensionUniqueName="[Table1]" displayFolder="" count="0" memberValueDatatype="20" unbalanced="0"/>
    <cacheHierarchy uniqueName="[Table1].[Paid Applications]" caption="Paid Applications" attribute="1" defaultMemberUniqueName="[Table1].[Paid Applications].[All]" allUniqueName="[Table1].[Paid Applications].[All]" dimensionUniqueName="[Table1]" displayFolder="" count="0" memberValueDatatype="20" unbalanced="0"/>
    <cacheHierarchy uniqueName="[Table1].[Enrolment Status]" caption="Enrolment Status" attribute="1" defaultMemberUniqueName="[Table1].[Enrolment Status].[All]" allUniqueName="[Table1].[Enrolment Statu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obile Verification Status]" caption="Count of Mobile Verification Statu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rse]" caption="Count of Cours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ay Pratap Vishwakarma" refreshedDate="46117.709722916668" backgroundQuery="1" createdVersion="8" refreshedVersion="8" minRefreshableVersion="3" recordCount="0" supportSubquery="1" supportAdvancedDrill="1" xr:uid="{62BE01ED-886B-4CC7-B250-876478CB46B5}">
  <cacheSource type="external" connectionId="1"/>
  <cacheFields count="2">
    <cacheField name="[Table1].[Lead Day].[Lead Day]" caption="Lead Day" numFmtId="0" hierarchy="17" level="1">
      <sharedItems count="11">
        <s v="April"/>
        <s v="August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Count of Name]" caption="Count of Name" numFmtId="0" hierarchy="23" level="32767"/>
  </cacheFields>
  <cacheHierarchies count="26"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Lead Origin]" caption="Lead Origin" attribute="1" defaultMemberUniqueName="[Table1].[Lead Origin].[All]" allUniqueName="[Table1].[Lead Origin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Instance]" caption="Instance" attribute="1" defaultMemberUniqueName="[Table1].[Instance].[All]" allUniqueName="[Table1].[Instance].[All]" dimensionUniqueName="[Table1]" displayFolder="" count="0" memberValueDatatype="130" unbalanced="0"/>
    <cacheHierarchy uniqueName="[Table1].[Instance Date]" caption="Instance Date" attribute="1" defaultMemberUniqueName="[Table1].[Instance Date].[All]" allUniqueName="[Table1].[Instance Date].[All]" dimensionUniqueName="[Table1]" displayFolder="" count="0" memberValueDatatype="130" unbalanced="0"/>
    <cacheHierarchy uniqueName="[Table1].[Lead Stage]" caption="Lead Stage" attribute="1" defaultMemberUniqueName="[Table1].[Lead Stage].[All]" allUniqueName="[Table1].[Lead Stage].[All]" dimensionUniqueName="[Table1]" displayFolder="" count="0" memberValueDatatype="130" unbalanced="0"/>
    <cacheHierarchy uniqueName="[Table1].[Lead Status]" caption="Lead Status" attribute="1" defaultMemberUniqueName="[Table1].[Lead Status].[All]" allUniqueName="[Table1].[Lead Status].[All]" dimensionUniqueName="[Table1]" displayFolder="" count="0" memberValueDatatype="130" unbalanced="0"/>
    <cacheHierarchy uniqueName="[Table1].[Email Verification Status]" caption="Email Verification Status" attribute="1" defaultMemberUniqueName="[Table1].[Email Verification Status].[All]" allUniqueName="[Table1].[Email Verification Status].[All]" dimensionUniqueName="[Table1]" displayFolder="" count="0" memberValueDatatype="130" unbalanced="0"/>
    <cacheHierarchy uniqueName="[Table1].[Mobile Verification Status]" caption="Mobile Verification Status" attribute="1" defaultMemberUniqueName="[Table1].[Mobile Verification Status].[All]" allUniqueName="[Table1].[Mobile Verification Status].[All]" dimensionUniqueName="[Table1]" displayFolder="" count="0" memberValueDatatype="130" unbalanced="0"/>
    <cacheHierarchy uniqueName="[Table1].[Lead Score]" caption="Lead Score" attribute="1" defaultMemberUniqueName="[Table1].[Lead Score].[All]" allUniqueName="[Table1].[Lead Score].[All]" dimensionUniqueName="[Table1]" displayFolder="" count="0" memberValueDatatype="20" unbalanced="0"/>
    <cacheHierarchy uniqueName="[Table1].[Registration Device]" caption="Registration Device" attribute="1" defaultMemberUniqueName="[Table1].[Registration Device].[All]" allUniqueName="[Table1].[Registration Device].[All]" dimensionUniqueName="[Table1]" displayFolder="" count="0" memberValueDatatype="130" unbalanced="0"/>
    <cacheHierarchy uniqueName="[Table1].[Course]" caption="Course" attribute="1" defaultMemberUniqueName="[Table1].[Course].[All]" allUniqueName="[Table1].[Course].[All]" dimensionUniqueName="[Table1]" displayFolder="" count="0" memberValueDatatype="130" unbalanced="0"/>
    <cacheHierarchy uniqueName="[Table1].[Specialization]" caption="Specialization" attribute="1" defaultMemberUniqueName="[Table1].[Specialization].[All]" allUniqueName="[Table1].[Specialization].[All]" dimensionUniqueName="[Table1]" displayFolder="" count="0" memberValueDatatype="130" unbalanced="0"/>
    <cacheHierarchy uniqueName="[Table1].[Campus]" caption="Campus" attribute="1" defaultMemberUniqueName="[Table1].[Campus].[All]" allUniqueName="[Table1].[Campus].[All]" dimensionUniqueName="[Table1]" displayFolder="" count="0" memberValueDatatype="130" unbalanced="0"/>
    <cacheHierarchy uniqueName="[Table1].[Last Lead Activity Date]" caption="Last Lead Activity Date" attribute="1" defaultMemberUniqueName="[Table1].[Last Lead Activity Date].[All]" allUniqueName="[Table1].[Last Lead Activity Date].[All]" dimensionUniqueName="[Table1]" displayFolder="" count="0" memberValueDatatype="130" unbalanced="0"/>
    <cacheHierarchy uniqueName="[Table1].[Lead Day]" caption="Lead Day" attribute="1" defaultMemberUniqueName="[Table1].[Lead Day].[All]" allUniqueName="[Table1].[Lead Da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Form Initiated]" caption="Form Initiated" attribute="1" defaultMemberUniqueName="[Table1].[Form Initiated].[All]" allUniqueName="[Table1].[Form Initiated].[All]" dimensionUniqueName="[Table1]" displayFolder="" count="0" memberValueDatatype="20" unbalanced="0"/>
    <cacheHierarchy uniqueName="[Table1].[Paid Applications]" caption="Paid Applications" attribute="1" defaultMemberUniqueName="[Table1].[Paid Applications].[All]" allUniqueName="[Table1].[Paid Applications].[All]" dimensionUniqueName="[Table1]" displayFolder="" count="0" memberValueDatatype="20" unbalanced="0"/>
    <cacheHierarchy uniqueName="[Table1].[Enrolment Status]" caption="Enrolment Status" attribute="1" defaultMemberUniqueName="[Table1].[Enrolment Status].[All]" allUniqueName="[Table1].[Enrolment Statu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Name]" caption="Count of Nam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obile Verification Status]" caption="Count of Mobile Verification Statu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rse]" caption="Count of Cours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nay Pratap Vishwakarma" refreshedDate="46117.752148958331" backgroundQuery="1" createdVersion="8" refreshedVersion="8" minRefreshableVersion="3" recordCount="0" supportSubquery="1" supportAdvancedDrill="1" xr:uid="{D5ACE6E2-A242-4F93-8636-5F239C9910DF}">
  <cacheSource type="external" connectionId="1"/>
  <cacheFields count="2">
    <cacheField name="[Table1].[Course].[Course]" caption="Course" numFmtId="0" hierarchy="13" level="1">
      <sharedItems count="10">
        <s v="B.Design"/>
        <s v="B.Tech Artificial Intelligence"/>
        <s v="B.Tech Biotechnology"/>
        <s v="B.Tech CSE"/>
        <s v="B.Tech Electronics &amp; Communication Engineering"/>
        <s v="BBA"/>
        <s v="BTECH AI"/>
        <s v="Integ. B.Tech and M.Tech Biotechnology"/>
        <s v="MBA"/>
        <s v="PG Diploma in Computer Applications"/>
      </sharedItems>
    </cacheField>
    <cacheField name="[Measures].[Count of Course]" caption="Count of Course" numFmtId="0" hierarchy="25" level="32767"/>
  </cacheFields>
  <cacheHierarchies count="26"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Lead Origin]" caption="Lead Origin" attribute="1" defaultMemberUniqueName="[Table1].[Lead Origin].[All]" allUniqueName="[Table1].[Lead Origin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Instance]" caption="Instance" attribute="1" defaultMemberUniqueName="[Table1].[Instance].[All]" allUniqueName="[Table1].[Instance].[All]" dimensionUniqueName="[Table1]" displayFolder="" count="0" memberValueDatatype="130" unbalanced="0"/>
    <cacheHierarchy uniqueName="[Table1].[Instance Date]" caption="Instance Date" attribute="1" defaultMemberUniqueName="[Table1].[Instance Date].[All]" allUniqueName="[Table1].[Instance Date].[All]" dimensionUniqueName="[Table1]" displayFolder="" count="0" memberValueDatatype="130" unbalanced="0"/>
    <cacheHierarchy uniqueName="[Table1].[Lead Stage]" caption="Lead Stage" attribute="1" defaultMemberUniqueName="[Table1].[Lead Stage].[All]" allUniqueName="[Table1].[Lead Stage].[All]" dimensionUniqueName="[Table1]" displayFolder="" count="0" memberValueDatatype="130" unbalanced="0"/>
    <cacheHierarchy uniqueName="[Table1].[Lead Status]" caption="Lead Status" attribute="1" defaultMemberUniqueName="[Table1].[Lead Status].[All]" allUniqueName="[Table1].[Lead Status].[All]" dimensionUniqueName="[Table1]" displayFolder="" count="0" memberValueDatatype="130" unbalanced="0"/>
    <cacheHierarchy uniqueName="[Table1].[Email Verification Status]" caption="Email Verification Status" attribute="1" defaultMemberUniqueName="[Table1].[Email Verification Status].[All]" allUniqueName="[Table1].[Email Verification Status].[All]" dimensionUniqueName="[Table1]" displayFolder="" count="0" memberValueDatatype="130" unbalanced="0"/>
    <cacheHierarchy uniqueName="[Table1].[Mobile Verification Status]" caption="Mobile Verification Status" attribute="1" defaultMemberUniqueName="[Table1].[Mobile Verification Status].[All]" allUniqueName="[Table1].[Mobile Verification Status].[All]" dimensionUniqueName="[Table1]" displayFolder="" count="0" memberValueDatatype="130" unbalanced="0"/>
    <cacheHierarchy uniqueName="[Table1].[Lead Score]" caption="Lead Score" attribute="1" defaultMemberUniqueName="[Table1].[Lead Score].[All]" allUniqueName="[Table1].[Lead Score].[All]" dimensionUniqueName="[Table1]" displayFolder="" count="0" memberValueDatatype="20" unbalanced="0"/>
    <cacheHierarchy uniqueName="[Table1].[Registration Device]" caption="Registration Device" attribute="1" defaultMemberUniqueName="[Table1].[Registration Device].[All]" allUniqueName="[Table1].[Registration Device].[All]" dimensionUniqueName="[Table1]" displayFolder="" count="0" memberValueDatatype="130" unbalanced="0"/>
    <cacheHierarchy uniqueName="[Table1].[Course]" caption="Course" attribute="1" defaultMemberUniqueName="[Table1].[Course].[All]" allUniqueName="[Table1].[Cours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pecialization]" caption="Specialization" attribute="1" defaultMemberUniqueName="[Table1].[Specialization].[All]" allUniqueName="[Table1].[Specialization].[All]" dimensionUniqueName="[Table1]" displayFolder="" count="0" memberValueDatatype="130" unbalanced="0"/>
    <cacheHierarchy uniqueName="[Table1].[Campus]" caption="Campus" attribute="1" defaultMemberUniqueName="[Table1].[Campus].[All]" allUniqueName="[Table1].[Campus].[All]" dimensionUniqueName="[Table1]" displayFolder="" count="0" memberValueDatatype="130" unbalanced="0"/>
    <cacheHierarchy uniqueName="[Table1].[Last Lead Activity Date]" caption="Last Lead Activity Date" attribute="1" defaultMemberUniqueName="[Table1].[Last Lead Activity Date].[All]" allUniqueName="[Table1].[Last Lead Activity Date].[All]" dimensionUniqueName="[Table1]" displayFolder="" count="0" memberValueDatatype="130" unbalanced="0"/>
    <cacheHierarchy uniqueName="[Table1].[Lead Day]" caption="Lead Day" attribute="1" defaultMemberUniqueName="[Table1].[Lead Day].[All]" allUniqueName="[Table1].[Lead Day].[All]" dimensionUniqueName="[Table1]" displayFolder="" count="0" memberValueDatatype="130" unbalanced="0"/>
    <cacheHierarchy uniqueName="[Table1].[Form Initiated]" caption="Form Initiated" attribute="1" defaultMemberUniqueName="[Table1].[Form Initiated].[All]" allUniqueName="[Table1].[Form Initiated].[All]" dimensionUniqueName="[Table1]" displayFolder="" count="0" memberValueDatatype="20" unbalanced="0"/>
    <cacheHierarchy uniqueName="[Table1].[Paid Applications]" caption="Paid Applications" attribute="1" defaultMemberUniqueName="[Table1].[Paid Applications].[All]" allUniqueName="[Table1].[Paid Applications].[All]" dimensionUniqueName="[Table1]" displayFolder="" count="0" memberValueDatatype="20" unbalanced="0"/>
    <cacheHierarchy uniqueName="[Table1].[Enrolment Status]" caption="Enrolment Status" attribute="1" defaultMemberUniqueName="[Table1].[Enrolment Status].[All]" allUniqueName="[Table1].[Enrolment Statu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obile Verification Status]" caption="Count of Mobile Verification Statu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rse]" caption="Count of Cours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Kritika Aggrawal"/>
    <x v="0"/>
    <s v="India"/>
    <x v="0"/>
    <x v="0"/>
    <s v="Primary"/>
    <s v="14/08/2025"/>
    <x v="0"/>
    <s v="Verified"/>
    <x v="0"/>
    <x v="0"/>
    <n v="88"/>
    <x v="0"/>
    <x v="0"/>
    <s v="Specialization Not Available"/>
    <s v="University Not Available"/>
    <s v="17/08/2025 01:21"/>
    <s v="August"/>
    <n v="1"/>
    <n v="1"/>
    <s v="Yes"/>
  </r>
  <r>
    <s v="Divyansh Harsh"/>
    <x v="1"/>
    <s v="India"/>
    <x v="1"/>
    <x v="1"/>
    <s v="Primary"/>
    <s v="26/07/2025"/>
    <x v="0"/>
    <s v="Verified"/>
    <x v="0"/>
    <x v="0"/>
    <n v="51"/>
    <x v="1"/>
    <x v="1"/>
    <s v="Specialization Not Available"/>
    <s v="University Not Available"/>
    <s v="27/08/2025 16:52"/>
    <s v="August"/>
    <n v="1"/>
    <n v="1"/>
    <s v="Yes"/>
  </r>
  <r>
    <s v="Priyanshi Tyagi"/>
    <x v="1"/>
    <s v="India"/>
    <x v="2"/>
    <x v="2"/>
    <s v="Primary"/>
    <s v="21/07/2025"/>
    <x v="0"/>
    <s v="Verified"/>
    <x v="1"/>
    <x v="0"/>
    <n v="63"/>
    <x v="1"/>
    <x v="2"/>
    <s v="Specialization Not Available"/>
    <s v="University Not Available"/>
    <s v="21/08/2025 12:25"/>
    <s v="August"/>
    <n v="1"/>
    <n v="1"/>
    <s v="Yes"/>
  </r>
  <r>
    <s v="Mohit"/>
    <x v="1"/>
    <s v="India"/>
    <x v="2"/>
    <x v="2"/>
    <s v="Primary"/>
    <s v="17/07/2025"/>
    <x v="0"/>
    <s v="Verified"/>
    <x v="0"/>
    <x v="0"/>
    <n v="110"/>
    <x v="1"/>
    <x v="3"/>
    <s v="Specialization Not Available"/>
    <s v="University Not Available"/>
    <d v="2025-05-08T21:05:00"/>
    <s v="May"/>
    <n v="3"/>
    <n v="1"/>
    <s v="Yes"/>
  </r>
  <r>
    <s v="Ansh Sharma"/>
    <x v="1"/>
    <s v="India"/>
    <x v="1"/>
    <x v="1"/>
    <s v="Primary"/>
    <s v="15/07/2025"/>
    <x v="0"/>
    <s v="Verified"/>
    <x v="1"/>
    <x v="0"/>
    <n v="85"/>
    <x v="1"/>
    <x v="3"/>
    <s v="Specialization Not Available"/>
    <s v="University Not Available"/>
    <d v="2025-02-08T13:12:00"/>
    <s v="February"/>
    <n v="1"/>
    <n v="1"/>
    <s v="Yes"/>
  </r>
  <r>
    <s v="Tarun"/>
    <x v="0"/>
    <s v="India"/>
    <x v="1"/>
    <x v="3"/>
    <s v="Primary"/>
    <d v="2025-07-07T00:00:00"/>
    <x v="0"/>
    <s v="Verified"/>
    <x v="1"/>
    <x v="0"/>
    <n v="45"/>
    <x v="0"/>
    <x v="4"/>
    <s v="Specialization Not Available"/>
    <s v="University Not Available"/>
    <d v="2025-07-07T11:34:00"/>
    <s v="July"/>
    <n v="1"/>
    <n v="1"/>
    <s v="Yes"/>
  </r>
  <r>
    <s v="Prashant goyal"/>
    <x v="1"/>
    <s v="India"/>
    <x v="1"/>
    <x v="4"/>
    <s v="Primary"/>
    <d v="2025-01-07T00:00:00"/>
    <x v="0"/>
    <s v="Verified"/>
    <x v="0"/>
    <x v="0"/>
    <n v="103"/>
    <x v="1"/>
    <x v="0"/>
    <s v="Specialization Not Available"/>
    <s v="University Not Available"/>
    <d v="2025-04-09T19:13:00"/>
    <s v="April"/>
    <n v="1"/>
    <n v="1"/>
    <s v="Yes"/>
  </r>
  <r>
    <s v="Kriti Chauhan"/>
    <x v="1"/>
    <s v="India"/>
    <x v="3"/>
    <x v="5"/>
    <s v="Primary"/>
    <s v="28/06/2025"/>
    <x v="0"/>
    <s v="Verified"/>
    <x v="0"/>
    <x v="0"/>
    <n v="85"/>
    <x v="1"/>
    <x v="0"/>
    <s v="Specialization Not Available"/>
    <s v="University Not Available"/>
    <s v="16/07/2025 22:02"/>
    <s v="July"/>
    <n v="1"/>
    <n v="1"/>
    <s v="Yes"/>
  </r>
  <r>
    <s v="Somen Pramanik"/>
    <x v="0"/>
    <s v="India"/>
    <x v="4"/>
    <x v="6"/>
    <s v="Primary"/>
    <s v="24/06/2025"/>
    <x v="1"/>
    <s v="Verified"/>
    <x v="0"/>
    <x v="0"/>
    <n v="123"/>
    <x v="0"/>
    <x v="0"/>
    <s v="Specialization Not Available"/>
    <s v="University Not Available"/>
    <s v="29/06/2025 20:03"/>
    <s v="June"/>
    <n v="1"/>
    <n v="1"/>
    <s v="Yes"/>
  </r>
  <r>
    <s v="ABHITAAY AWASTHI"/>
    <x v="0"/>
    <s v="India"/>
    <x v="1"/>
    <x v="7"/>
    <s v="Primary"/>
    <s v="24/06/2025"/>
    <x v="1"/>
    <s v="Verified"/>
    <x v="1"/>
    <x v="0"/>
    <n v="100"/>
    <x v="0"/>
    <x v="0"/>
    <s v="Specialization Not Available"/>
    <s v="University Not Available"/>
    <s v="24/06/2025 13:39"/>
    <s v="June"/>
    <n v="1"/>
    <n v="1"/>
    <s v="Yes"/>
  </r>
  <r>
    <s v="KYNA MONGA"/>
    <x v="0"/>
    <s v="India"/>
    <x v="2"/>
    <x v="2"/>
    <s v="Primary"/>
    <s v="15/06/2025"/>
    <x v="0"/>
    <s v="Verified"/>
    <x v="1"/>
    <x v="0"/>
    <n v="111"/>
    <x v="0"/>
    <x v="5"/>
    <s v="Specialization Not Available"/>
    <s v="University Not Available"/>
    <d v="2025-11-08T15:13:00"/>
    <s v="November"/>
    <n v="3"/>
    <n v="3"/>
    <s v="Yes"/>
  </r>
  <r>
    <s v="Naman Mishra"/>
    <x v="1"/>
    <s v="India"/>
    <x v="2"/>
    <x v="2"/>
    <s v="Primary"/>
    <s v="13/06/2025"/>
    <x v="0"/>
    <s v="Verified"/>
    <x v="0"/>
    <x v="0"/>
    <n v="89"/>
    <x v="1"/>
    <x v="6"/>
    <s v="Specialization Not Available"/>
    <s v="University Not Available"/>
    <d v="2025-01-08T16:38:00"/>
    <s v="January"/>
    <n v="1"/>
    <n v="1"/>
    <s v="Yes"/>
  </r>
  <r>
    <s v="Saifullah Saad"/>
    <x v="1"/>
    <s v="India"/>
    <x v="5"/>
    <x v="8"/>
    <s v="Primary"/>
    <d v="2025-11-06T00:00:00"/>
    <x v="0"/>
    <s v="Verified"/>
    <x v="0"/>
    <x v="0"/>
    <n v="84"/>
    <x v="1"/>
    <x v="7"/>
    <s v="Specialization Not Available"/>
    <s v="University Not Available"/>
    <s v="15/07/2025 13:06"/>
    <s v="July"/>
    <n v="1"/>
    <n v="1"/>
    <s v="Yes"/>
  </r>
  <r>
    <s v="SHURYANSH KASHYAP"/>
    <x v="0"/>
    <s v="India"/>
    <x v="4"/>
    <x v="6"/>
    <s v="Primary"/>
    <d v="2025-07-06T00:00:00"/>
    <x v="0"/>
    <s v="Verified"/>
    <x v="0"/>
    <x v="0"/>
    <n v="127"/>
    <x v="0"/>
    <x v="0"/>
    <s v="Specialization Not Available"/>
    <s v="University Not Available"/>
    <s v="14/06/2025 11:20"/>
    <s v="June"/>
    <n v="2"/>
    <n v="1"/>
    <s v="Yes"/>
  </r>
  <r>
    <s v="Sarthak"/>
    <x v="1"/>
    <s v="India"/>
    <x v="2"/>
    <x v="2"/>
    <s v="Primary"/>
    <d v="2025-07-06T00:00:00"/>
    <x v="1"/>
    <s v="Verified"/>
    <x v="0"/>
    <x v="0"/>
    <n v="81"/>
    <x v="1"/>
    <x v="0"/>
    <s v="Specialization Not Available"/>
    <s v="University Not Available"/>
    <s v="30/06/2025 22:20"/>
    <s v="June"/>
    <n v="1"/>
    <n v="1"/>
    <s v="Yes"/>
  </r>
  <r>
    <s v="Sneha Srivastava"/>
    <x v="0"/>
    <s v="India"/>
    <x v="4"/>
    <x v="6"/>
    <s v="Primary"/>
    <s v="30/05/2025"/>
    <x v="0"/>
    <s v="Verified"/>
    <x v="1"/>
    <x v="0"/>
    <n v="75"/>
    <x v="2"/>
    <x v="4"/>
    <s v="Specialization Not Available"/>
    <s v="University Not Available"/>
    <s v="30/05/2025 17:22"/>
    <s v="May"/>
    <n v="2"/>
    <n v="1"/>
    <s v="Yes"/>
  </r>
  <r>
    <s v="Daksh Rawat"/>
    <x v="1"/>
    <s v="India"/>
    <x v="1"/>
    <x v="9"/>
    <s v="Primary"/>
    <s v="30/05/2025"/>
    <x v="0"/>
    <s v="Verified"/>
    <x v="0"/>
    <x v="0"/>
    <n v="86"/>
    <x v="1"/>
    <x v="8"/>
    <s v="Specialization Not Available"/>
    <s v="University Not Available"/>
    <s v="23/06/2025 11:16"/>
    <s v="June"/>
    <n v="1"/>
    <n v="1"/>
    <s v="Yes"/>
  </r>
  <r>
    <s v="Ashita Sharma"/>
    <x v="1"/>
    <s v="India"/>
    <x v="1"/>
    <x v="9"/>
    <s v="Primary"/>
    <s v="30/05/2025"/>
    <x v="1"/>
    <s v="Verified"/>
    <x v="0"/>
    <x v="0"/>
    <n v="68"/>
    <x v="1"/>
    <x v="9"/>
    <s v="Specialization Not Available"/>
    <s v="University Not Available"/>
    <d v="2025-06-06T14:41:00"/>
    <s v="June"/>
    <n v="1"/>
    <n v="1"/>
    <s v="Yes"/>
  </r>
  <r>
    <s v="Riya"/>
    <x v="1"/>
    <s v="India"/>
    <x v="1"/>
    <x v="9"/>
    <s v="Primary"/>
    <s v="29/05/2025"/>
    <x v="0"/>
    <s v="Verified"/>
    <x v="1"/>
    <x v="0"/>
    <n v="70"/>
    <x v="1"/>
    <x v="9"/>
    <s v="Specialization Not Available"/>
    <s v="University Not Available"/>
    <s v="14/07/2025 19:04"/>
    <s v="July"/>
    <n v="1"/>
    <n v="1"/>
    <s v="Yes"/>
  </r>
  <r>
    <s v="Ujwal Tyagi"/>
    <x v="1"/>
    <s v="India"/>
    <x v="2"/>
    <x v="2"/>
    <s v="Primary"/>
    <s v="28/05/2025"/>
    <x v="0"/>
    <s v="Verified"/>
    <x v="0"/>
    <x v="0"/>
    <n v="64"/>
    <x v="1"/>
    <x v="0"/>
    <s v="Specialization Not Available"/>
    <s v="University Not Available"/>
    <s v="27/06/2025 18:21"/>
    <s v="June"/>
    <n v="1"/>
    <n v="1"/>
    <s v="Yes"/>
  </r>
  <r>
    <s v="Rohan Gupta"/>
    <x v="1"/>
    <s v="India"/>
    <x v="2"/>
    <x v="10"/>
    <s v="Primary"/>
    <s v="28/05/2025"/>
    <x v="0"/>
    <s v="Verified"/>
    <x v="0"/>
    <x v="0"/>
    <n v="96"/>
    <x v="1"/>
    <x v="0"/>
    <s v="Specialization Not Available"/>
    <s v="University Not Available"/>
    <s v="17/08/2025 10:20"/>
    <s v="August"/>
    <n v="1"/>
    <n v="1"/>
    <s v="Yes"/>
  </r>
  <r>
    <s v="Mohammed Farhan Siddiqui"/>
    <x v="1"/>
    <s v="India"/>
    <x v="2"/>
    <x v="2"/>
    <s v="Primary"/>
    <s v="28/05/2025"/>
    <x v="0"/>
    <s v="Verified"/>
    <x v="0"/>
    <x v="0"/>
    <n v="79"/>
    <x v="1"/>
    <x v="7"/>
    <s v="Specialization Not Available"/>
    <s v="University Not Available"/>
    <d v="2025-09-06T20:05:00"/>
    <s v="September"/>
    <n v="1"/>
    <n v="1"/>
    <s v="Yes"/>
  </r>
  <r>
    <s v="Manya Aggarwal"/>
    <x v="1"/>
    <s v="India"/>
    <x v="2"/>
    <x v="11"/>
    <s v="Primary"/>
    <s v="27/05/2025"/>
    <x v="1"/>
    <s v="Verified"/>
    <x v="0"/>
    <x v="0"/>
    <n v="80"/>
    <x v="1"/>
    <x v="0"/>
    <s v="Specialization Not Available"/>
    <s v="University Not Available"/>
    <s v="13/08/2025 18:47"/>
    <s v="August"/>
    <n v="1"/>
    <n v="1"/>
    <s v="Yes"/>
  </r>
  <r>
    <s v="Parth Gupta"/>
    <x v="0"/>
    <s v="India"/>
    <x v="1"/>
    <x v="12"/>
    <s v="Primary"/>
    <s v="25/05/2025"/>
    <x v="1"/>
    <s v="Verified"/>
    <x v="1"/>
    <x v="0"/>
    <n v="97"/>
    <x v="0"/>
    <x v="0"/>
    <s v="Specialization Not Available"/>
    <s v="University Not Available"/>
    <d v="2025-04-08T22:19:00"/>
    <s v="April"/>
    <n v="1"/>
    <n v="1"/>
    <s v="Yes"/>
  </r>
  <r>
    <s v="Jayant verma"/>
    <x v="0"/>
    <s v="India"/>
    <x v="2"/>
    <x v="13"/>
    <s v="Primary"/>
    <s v="25/05/2025"/>
    <x v="1"/>
    <s v="Verified"/>
    <x v="1"/>
    <x v="0"/>
    <n v="53"/>
    <x v="0"/>
    <x v="10"/>
    <s v="Specialization Not Available"/>
    <s v="University Not Available"/>
    <d v="2025-11-08T09:24:00"/>
    <s v="November"/>
    <n v="1"/>
    <n v="1"/>
    <s v="Yes"/>
  </r>
  <r>
    <s v="AYUSH ROY"/>
    <x v="1"/>
    <s v="India"/>
    <x v="2"/>
    <x v="2"/>
    <s v="Primary"/>
    <s v="25/05/2025"/>
    <x v="0"/>
    <s v="Verified"/>
    <x v="1"/>
    <x v="0"/>
    <n v="70"/>
    <x v="1"/>
    <x v="0"/>
    <s v="Specialization Not Available"/>
    <s v="University Not Available"/>
    <s v="19/06/2025 21:48"/>
    <s v="June"/>
    <n v="1"/>
    <n v="1"/>
    <s v="Yes"/>
  </r>
  <r>
    <s v="Bhavya Dawar"/>
    <x v="1"/>
    <s v="India"/>
    <x v="2"/>
    <x v="2"/>
    <s v="Primary"/>
    <s v="25/05/2025"/>
    <x v="0"/>
    <s v="Verified"/>
    <x v="0"/>
    <x v="0"/>
    <n v="84"/>
    <x v="1"/>
    <x v="0"/>
    <s v="Specialization Not Available"/>
    <s v="University Not Available"/>
    <d v="2025-07-07T19:12:00"/>
    <s v="July"/>
    <n v="1"/>
    <n v="1"/>
    <s v="Yes"/>
  </r>
  <r>
    <s v="Kumar Ayushman"/>
    <x v="1"/>
    <s v="India"/>
    <x v="2"/>
    <x v="2"/>
    <s v="Primary"/>
    <s v="25/05/2025"/>
    <x v="1"/>
    <s v="Verified"/>
    <x v="1"/>
    <x v="0"/>
    <n v="68"/>
    <x v="1"/>
    <x v="2"/>
    <s v="Specialization Not Available"/>
    <s v="University Not Available"/>
    <s v="15/06/2025 19:54"/>
    <s v="June"/>
    <n v="2"/>
    <n v="2"/>
    <s v="Yes"/>
  </r>
  <r>
    <s v="Am"/>
    <x v="1"/>
    <s v="India"/>
    <x v="2"/>
    <x v="2"/>
    <s v="Primary"/>
    <s v="24/05/2025"/>
    <x v="0"/>
    <s v="Verified"/>
    <x v="1"/>
    <x v="0"/>
    <n v="92"/>
    <x v="1"/>
    <x v="2"/>
    <s v="Specialization Not Available"/>
    <s v="University Not Available"/>
    <d v="2025-07-06T17:32:00"/>
    <s v="July"/>
    <n v="1"/>
    <n v="1"/>
    <s v="Yes"/>
  </r>
  <r>
    <s v="Ayaan Aneja"/>
    <x v="0"/>
    <s v="India"/>
    <x v="2"/>
    <x v="14"/>
    <s v="Primary"/>
    <s v="22/05/2025"/>
    <x v="1"/>
    <s v="Verified"/>
    <x v="1"/>
    <x v="0"/>
    <n v="56"/>
    <x v="0"/>
    <x v="11"/>
    <s v="Specialization Not Available"/>
    <s v="University Not Available"/>
    <d v="2025-11-06T15:48:00"/>
    <s v="November"/>
    <n v="2"/>
    <n v="1"/>
    <s v="Yes"/>
  </r>
  <r>
    <s v="PARIDHI GAUR"/>
    <x v="0"/>
    <s v="India"/>
    <x v="1"/>
    <x v="12"/>
    <s v="Primary"/>
    <s v="21/05/2025"/>
    <x v="0"/>
    <s v="Verified"/>
    <x v="0"/>
    <x v="0"/>
    <n v="66"/>
    <x v="0"/>
    <x v="2"/>
    <s v="Specialization Not Available"/>
    <s v="University Not Available"/>
    <s v="13/08/2025 14:04"/>
    <s v="August"/>
    <n v="1"/>
    <n v="1"/>
    <s v="Yes"/>
  </r>
  <r>
    <s v="DEVYANSH VERMA"/>
    <x v="0"/>
    <s v="India"/>
    <x v="2"/>
    <x v="15"/>
    <s v="Primary"/>
    <s v="19/05/2025"/>
    <x v="1"/>
    <s v="Verified"/>
    <x v="1"/>
    <x v="0"/>
    <n v="38"/>
    <x v="0"/>
    <x v="0"/>
    <s v="Specialization Not Available"/>
    <s v="University Not Available"/>
    <s v="19/05/2025 20:59"/>
    <s v="May"/>
    <n v="1"/>
    <n v="1"/>
    <s v="Yes"/>
  </r>
  <r>
    <s v="SAKSHI UPADHYAY"/>
    <x v="0"/>
    <s v="India"/>
    <x v="6"/>
    <x v="16"/>
    <s v="Primary"/>
    <s v="19/05/2025"/>
    <x v="1"/>
    <s v="Verified"/>
    <x v="1"/>
    <x v="0"/>
    <n v="82"/>
    <x v="0"/>
    <x v="12"/>
    <s v="Specialization Not Available"/>
    <s v="University Not Available"/>
    <s v="29/05/2025 18:13"/>
    <s v="May"/>
    <n v="1"/>
    <n v="1"/>
    <s v="Yes"/>
  </r>
  <r>
    <s v="Amrit Dawer"/>
    <x v="0"/>
    <s v="India"/>
    <x v="7"/>
    <x v="17"/>
    <s v="Primary"/>
    <s v="19/05/2025"/>
    <x v="0"/>
    <s v="Verified"/>
    <x v="1"/>
    <x v="0"/>
    <n v="63"/>
    <x v="0"/>
    <x v="1"/>
    <s v="Specialization Not Available"/>
    <s v="University Not Available"/>
    <s v="25/07/2025 20:10"/>
    <s v="July"/>
    <n v="1"/>
    <n v="1"/>
    <s v="Yes"/>
  </r>
  <r>
    <s v="Sanya Batra"/>
    <x v="0"/>
    <s v="India"/>
    <x v="1"/>
    <x v="18"/>
    <s v="Primary"/>
    <s v="18/05/2025"/>
    <x v="0"/>
    <s v="Verified"/>
    <x v="1"/>
    <x v="0"/>
    <n v="80"/>
    <x v="0"/>
    <x v="0"/>
    <s v="Specialization Not Available"/>
    <s v="University Not Available"/>
    <s v="18/05/2025 22:44"/>
    <s v="May"/>
    <n v="1"/>
    <n v="1"/>
    <s v="Yes"/>
  </r>
  <r>
    <s v="Shlok Mukherjee"/>
    <x v="0"/>
    <s v="India"/>
    <x v="1"/>
    <x v="1"/>
    <s v="Primary"/>
    <s v="18/05/2025"/>
    <x v="0"/>
    <s v="Verified"/>
    <x v="0"/>
    <x v="0"/>
    <n v="89"/>
    <x v="0"/>
    <x v="0"/>
    <s v="Specialization Not Available"/>
    <s v="University Not Available"/>
    <s v="18/07/2025 17:32"/>
    <s v="July"/>
    <n v="1"/>
    <n v="1"/>
    <s v="Yes"/>
  </r>
  <r>
    <s v="Rudransh Arneja"/>
    <x v="1"/>
    <s v="India"/>
    <x v="1"/>
    <x v="19"/>
    <s v="Primary"/>
    <d v="2025-12-05T00:00:00"/>
    <x v="0"/>
    <s v="Verified"/>
    <x v="1"/>
    <x v="0"/>
    <n v="68"/>
    <x v="1"/>
    <x v="0"/>
    <s v="Specialization Not Available"/>
    <s v="University Not Available"/>
    <d v="2025-05-06T19:33:00"/>
    <s v="May"/>
    <n v="1"/>
    <n v="1"/>
    <s v="Yes"/>
  </r>
  <r>
    <s v="Harsh Raj Singh"/>
    <x v="0"/>
    <s v="India"/>
    <x v="5"/>
    <x v="8"/>
    <s v="Primary"/>
    <d v="2025-05-05T00:00:00"/>
    <x v="0"/>
    <s v="Verified"/>
    <x v="0"/>
    <x v="0"/>
    <n v="125"/>
    <x v="0"/>
    <x v="0"/>
    <s v="Specialization Not Available"/>
    <s v="University Not Available"/>
    <d v="2025-10-07T17:01:00"/>
    <s v="October"/>
    <n v="1"/>
    <n v="1"/>
    <s v="Yes"/>
  </r>
  <r>
    <s v="Gargi Singh"/>
    <x v="1"/>
    <s v="India"/>
    <x v="1"/>
    <x v="1"/>
    <s v="Primary"/>
    <d v="2025-04-05T00:00:00"/>
    <x v="0"/>
    <s v="Verified"/>
    <x v="1"/>
    <x v="0"/>
    <n v="67"/>
    <x v="1"/>
    <x v="0"/>
    <s v="Specialization Not Available"/>
    <s v="University Not Available"/>
    <s v="28/05/2025 17:55"/>
    <s v="May"/>
    <n v="1"/>
    <n v="1"/>
    <s v="Yes"/>
  </r>
  <r>
    <s v="Rishu Jha"/>
    <x v="1"/>
    <s v="India"/>
    <x v="2"/>
    <x v="2"/>
    <s v="Primary"/>
    <d v="2025-04-05T00:00:00"/>
    <x v="0"/>
    <s v="Verified"/>
    <x v="1"/>
    <x v="0"/>
    <n v="108"/>
    <x v="1"/>
    <x v="13"/>
    <s v="Specialization Not Available"/>
    <s v="University Not Available"/>
    <s v="13/05/2025 14:32"/>
    <s v="May"/>
    <n v="1"/>
    <n v="1"/>
    <s v="Yes"/>
  </r>
  <r>
    <s v="Ridhima Singh"/>
    <x v="1"/>
    <s v="India"/>
    <x v="1"/>
    <x v="1"/>
    <s v="Primary"/>
    <d v="2025-03-05T00:00:00"/>
    <x v="1"/>
    <s v="Verified"/>
    <x v="0"/>
    <x v="0"/>
    <n v="136"/>
    <x v="1"/>
    <x v="14"/>
    <s v="Specialization Not Available"/>
    <s v="University Not Available"/>
    <d v="2025-08-08T21:44:00"/>
    <s v="August"/>
    <n v="1"/>
    <n v="1"/>
    <s v="Yes"/>
  </r>
  <r>
    <s v="ANANYA MULLICK"/>
    <x v="0"/>
    <s v="India"/>
    <x v="2"/>
    <x v="2"/>
    <s v="Primary"/>
    <s v="28/04/2025"/>
    <x v="0"/>
    <s v="Verified"/>
    <x v="0"/>
    <x v="0"/>
    <n v="117"/>
    <x v="0"/>
    <x v="15"/>
    <s v="Specialization Not Available"/>
    <s v="University Not Available"/>
    <d v="2025-08-07T19:04:00"/>
    <s v="August"/>
    <n v="1"/>
    <n v="1"/>
    <s v="Yes"/>
  </r>
  <r>
    <s v="Praphulla Kumar"/>
    <x v="0"/>
    <s v="India"/>
    <x v="1"/>
    <x v="9"/>
    <s v="Primary"/>
    <s v="27/04/2025"/>
    <x v="0"/>
    <s v="Verified"/>
    <x v="0"/>
    <x v="0"/>
    <n v="135"/>
    <x v="0"/>
    <x v="16"/>
    <s v="Specialization Not Available"/>
    <s v="University Not Available"/>
    <s v="13/06/2025 07:44"/>
    <s v="June"/>
    <n v="1"/>
    <n v="1"/>
    <s v="Yes"/>
  </r>
  <r>
    <s v="Devesh Sharma"/>
    <x v="0"/>
    <s v="India"/>
    <x v="2"/>
    <x v="20"/>
    <s v="Primary"/>
    <s v="26/04/2025"/>
    <x v="0"/>
    <s v="Verified"/>
    <x v="1"/>
    <x v="0"/>
    <n v="83"/>
    <x v="2"/>
    <x v="1"/>
    <s v="Specialization Not Available"/>
    <s v="University Not Available"/>
    <d v="2025-08-08T14:33:00"/>
    <s v="August"/>
    <n v="1"/>
    <n v="1"/>
    <s v="Yes"/>
  </r>
  <r>
    <s v="Gaurav"/>
    <x v="0"/>
    <s v="India"/>
    <x v="0"/>
    <x v="21"/>
    <s v="Primary"/>
    <s v="24/04/2025"/>
    <x v="1"/>
    <s v="Verified"/>
    <x v="0"/>
    <x v="0"/>
    <n v="125"/>
    <x v="0"/>
    <x v="0"/>
    <s v="Specialization Not Available"/>
    <s v="University Not Available"/>
    <d v="2025-11-07T18:01:00"/>
    <s v="November"/>
    <n v="3"/>
    <n v="1"/>
    <s v="Yes"/>
  </r>
  <r>
    <s v="Rayavarapu Mourthika Sasi"/>
    <x v="0"/>
    <s v="India"/>
    <x v="8"/>
    <x v="22"/>
    <s v="Primary"/>
    <s v="23/04/2025"/>
    <x v="0"/>
    <s v="Verified"/>
    <x v="0"/>
    <x v="0"/>
    <n v="93"/>
    <x v="0"/>
    <x v="0"/>
    <s v="Specialization Not Available"/>
    <s v="University Not Available"/>
    <s v="30/06/2025 13:27"/>
    <s v="June"/>
    <n v="1"/>
    <n v="1"/>
    <s v="Yes"/>
  </r>
  <r>
    <s v="Keshav Kaushik"/>
    <x v="0"/>
    <s v="India"/>
    <x v="0"/>
    <x v="23"/>
    <s v="Primary"/>
    <s v="21/04/2025"/>
    <x v="1"/>
    <s v="Verified"/>
    <x v="1"/>
    <x v="0"/>
    <n v="36"/>
    <x v="0"/>
    <x v="0"/>
    <s v="Specialization Not Available"/>
    <s v="University Not Available"/>
    <s v="21/04/2025 23:51"/>
    <s v="April"/>
    <n v="1"/>
    <n v="1"/>
    <s v="Yes"/>
  </r>
  <r>
    <s v="AVNI MAHESHWARI"/>
    <x v="1"/>
    <s v="India"/>
    <x v="1"/>
    <x v="19"/>
    <s v="Primary"/>
    <s v="21/04/2025"/>
    <x v="0"/>
    <s v="Verified"/>
    <x v="1"/>
    <x v="0"/>
    <n v="94"/>
    <x v="1"/>
    <x v="17"/>
    <s v="Specialization Not Available"/>
    <s v="University Not Available"/>
    <d v="2025-11-08T13:50:00"/>
    <s v="November"/>
    <n v="2"/>
    <n v="1"/>
    <s v="Yes"/>
  </r>
  <r>
    <s v="Khanak Gupta"/>
    <x v="1"/>
    <s v="India"/>
    <x v="0"/>
    <x v="0"/>
    <s v="Primary"/>
    <s v="21/04/2025"/>
    <x v="0"/>
    <s v="Verified"/>
    <x v="0"/>
    <x v="0"/>
    <n v="159"/>
    <x v="1"/>
    <x v="0"/>
    <s v="Specialization Not Available"/>
    <s v="University Not Available"/>
    <s v="20/05/2025 19:50"/>
    <s v="May"/>
    <n v="1"/>
    <n v="1"/>
    <s v="Yes"/>
  </r>
  <r>
    <s v="Rohan Kumar Maharana"/>
    <x v="1"/>
    <s v="India"/>
    <x v="1"/>
    <x v="9"/>
    <s v="Primary"/>
    <s v="21/04/2025"/>
    <x v="1"/>
    <s v="Verified"/>
    <x v="0"/>
    <x v="0"/>
    <n v="148"/>
    <x v="1"/>
    <x v="0"/>
    <s v="Specialization Not Available"/>
    <s v="University Not Available"/>
    <d v="2025-03-06T20:59:00"/>
    <s v="March"/>
    <n v="1"/>
    <n v="1"/>
    <s v="Yes"/>
  </r>
  <r>
    <s v="Srishti Singh"/>
    <x v="1"/>
    <s v="India"/>
    <x v="1"/>
    <x v="9"/>
    <s v="Primary"/>
    <d v="2025-10-04T00:00:00"/>
    <x v="0"/>
    <s v="Verified"/>
    <x v="0"/>
    <x v="0"/>
    <n v="104"/>
    <x v="1"/>
    <x v="1"/>
    <s v="Specialization Not Available"/>
    <s v="University Not Available"/>
    <d v="2025-03-07T13:06:00"/>
    <s v="March"/>
    <n v="1"/>
    <n v="1"/>
    <s v="Yes"/>
  </r>
  <r>
    <s v="Atharv Lal"/>
    <x v="1"/>
    <s v="India"/>
    <x v="2"/>
    <x v="11"/>
    <s v="Primary"/>
    <d v="2025-10-04T00:00:00"/>
    <x v="0"/>
    <s v="Verified"/>
    <x v="1"/>
    <x v="0"/>
    <n v="72"/>
    <x v="1"/>
    <x v="1"/>
    <s v="Specialization Not Available"/>
    <s v="University Not Available"/>
    <s v="21/08/2025 21:42"/>
    <s v="August"/>
    <n v="1"/>
    <n v="1"/>
    <s v="Yes"/>
  </r>
  <r>
    <s v="Ryan Bhatnagar"/>
    <x v="1"/>
    <s v="India"/>
    <x v="1"/>
    <x v="1"/>
    <s v="Primary"/>
    <d v="2025-10-04T00:00:00"/>
    <x v="0"/>
    <s v="Verified"/>
    <x v="1"/>
    <x v="0"/>
    <n v="154"/>
    <x v="1"/>
    <x v="13"/>
    <s v="Specialization Not Available"/>
    <s v="University Not Available"/>
    <s v="18/06/2025 15:59"/>
    <s v="June"/>
    <n v="1"/>
    <n v="1"/>
    <s v="Yes"/>
  </r>
  <r>
    <s v="Ishitwa Gupta"/>
    <x v="1"/>
    <s v="India"/>
    <x v="1"/>
    <x v="1"/>
    <s v="Primary"/>
    <d v="2025-10-04T00:00:00"/>
    <x v="0"/>
    <s v="Verified"/>
    <x v="0"/>
    <x v="0"/>
    <n v="120"/>
    <x v="1"/>
    <x v="0"/>
    <s v="Specialization Not Available"/>
    <s v="University Not Available"/>
    <s v="30/05/2025 14:24"/>
    <s v="May"/>
    <n v="2"/>
    <n v="2"/>
    <s v="Yes"/>
  </r>
  <r>
    <s v="Tejas Bhatt"/>
    <x v="1"/>
    <s v="India"/>
    <x v="1"/>
    <x v="1"/>
    <s v="Primary"/>
    <d v="2025-10-04T00:00:00"/>
    <x v="0"/>
    <s v="Verified"/>
    <x v="0"/>
    <x v="0"/>
    <n v="163"/>
    <x v="1"/>
    <x v="18"/>
    <s v="Specialization Not Available"/>
    <s v="University Not Available"/>
    <s v="28/07/2025 14:19"/>
    <s v="July"/>
    <n v="1"/>
    <n v="1"/>
    <s v="Yes"/>
  </r>
  <r>
    <s v="Aarna"/>
    <x v="1"/>
    <s v="India"/>
    <x v="1"/>
    <x v="1"/>
    <s v="Primary"/>
    <d v="2025-03-04T00:00:00"/>
    <x v="0"/>
    <s v="Verified"/>
    <x v="0"/>
    <x v="0"/>
    <n v="136"/>
    <x v="1"/>
    <x v="19"/>
    <s v="Specialization Not Available"/>
    <s v="University Not Available"/>
    <s v="24/07/2025 20:05"/>
    <s v="July"/>
    <n v="3"/>
    <n v="1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E0443-BCB7-435A-8AEF-DB5FBAF1BC5D}" name="PivotTable3" cacheId="48" applyNumberFormats="0" applyBorderFormats="0" applyFontFormats="0" applyPatternFormats="0" applyAlignmentFormats="0" applyWidthHeightFormats="1" dataCaption="Values" tag="495efec0-5e6a-41d9-b841-00f13e7e5d39" updatedVersion="8" minRefreshableVersion="3" useAutoFormatting="1" rowGrandTotals="0" colGrandTotals="0" itemPrintTitles="1" createdVersion="8" indent="0" outline="1" outlineData="1" multipleFieldFilters="0">
  <location ref="B75:C76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Count of Mobile Verification Status" fld="1" subtotal="count" showDataAs="percentOfTotal" baseField="0" baseItem="0" numFmtId="10"/>
  </dataFields>
  <formats count="11">
    <format dxfId="77">
      <pivotArea type="all" dataOnly="0" outline="0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0"/>
    </format>
    <format dxfId="69">
      <pivotArea dataOnly="0" labelOnly="1" fieldPosition="0">
        <references count="1">
          <reference field="0" count="0"/>
        </references>
      </pivotArea>
    </format>
    <format dxfId="68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outline="0" axis="axisValues" fieldPosition="0"/>
    </format>
    <format dxfId="50">
      <pivotArea outline="0" fieldPosition="0">
        <references count="1">
          <reference field="4294967294" count="1">
            <x v="0"/>
          </reference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ABCD5-AC4D-4AFA-9EE5-9A43E20D6BA2}" name="PivotTable1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71:F72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ax of Lead Score" fld="11" subtotal="max" baseField="0" baseItem="0" numFmtId="164"/>
  </dataFields>
  <formats count="9">
    <format dxfId="302">
      <pivotArea type="all" dataOnly="0" outline="0" fieldPosition="0"/>
    </format>
    <format dxfId="301">
      <pivotArea outline="0" collapsedLevelsAreSubtotals="1" fieldPosition="0"/>
    </format>
    <format dxfId="300">
      <pivotArea dataOnly="0" labelOnly="1" outline="0" axis="axisValues" fieldPosition="0"/>
    </format>
    <format dxfId="233">
      <pivotArea type="all" dataOnly="0" outline="0" fieldPosition="0"/>
    </format>
    <format dxfId="232">
      <pivotArea outline="0" collapsedLevelsAreSubtotals="1" fieldPosition="0"/>
    </format>
    <format dxfId="231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64322-EE72-4D96-9329-8C77694BF552}" name="PivotTable1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71:D72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Lead Score" fld="11" subtotal="average" baseField="0" baseItem="0" numFmtId="164"/>
  </dataFields>
  <formats count="9">
    <format dxfId="299">
      <pivotArea type="all" dataOnly="0" outline="0" fieldPosition="0"/>
    </format>
    <format dxfId="298">
      <pivotArea outline="0" collapsedLevelsAreSubtotals="1" fieldPosition="0"/>
    </format>
    <format dxfId="297">
      <pivotArea dataOnly="0" labelOnly="1" outline="0" axis="axisValues" fieldPosition="0"/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14795-2080-4C02-B517-5CDF45481F94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B19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ax of Lead Score" fld="11" subtotal="max" baseField="0" baseItem="0"/>
  </dataFields>
  <formats count="9">
    <format dxfId="296">
      <pivotArea type="all" dataOnly="0" outline="0" fieldPosition="0"/>
    </format>
    <format dxfId="295">
      <pivotArea outline="0" collapsedLevelsAreSubtotals="1" fieldPosition="0"/>
    </format>
    <format dxfId="294">
      <pivotArea dataOnly="0" labelOnly="1" outline="0" axis="axisValues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17135-C494-45B1-8B68-45ABF0CF7E8A}" name="PivotTable1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stration Device" fld="12" subtotal="count" showDataAs="percentOfTotal" baseField="12" baseItem="0" numFmtId="10"/>
  </dataFields>
  <formats count="18">
    <format dxfId="293">
      <pivotArea type="all" dataOnly="0" outline="0" fieldPosition="0"/>
    </format>
    <format dxfId="292">
      <pivotArea outline="0" collapsedLevelsAreSubtotals="1" fieldPosition="0"/>
    </format>
    <format dxfId="291">
      <pivotArea field="12" type="button" dataOnly="0" labelOnly="1" outline="0" axis="axisRow" fieldPosition="0"/>
    </format>
    <format dxfId="290">
      <pivotArea dataOnly="0" labelOnly="1" fieldPosition="0">
        <references count="1">
          <reference field="12" count="0"/>
        </references>
      </pivotArea>
    </format>
    <format dxfId="289">
      <pivotArea dataOnly="0" labelOnly="1" grandRow="1" outline="0" fieldPosition="0"/>
    </format>
    <format dxfId="288">
      <pivotArea dataOnly="0" labelOnly="1" outline="0" axis="axisValues" fieldPosition="0"/>
    </format>
    <format dxfId="224">
      <pivotArea type="all" dataOnly="0" outline="0" fieldPosition="0"/>
    </format>
    <format dxfId="223">
      <pivotArea outline="0" collapsedLevelsAreSubtotals="1" fieldPosition="0"/>
    </format>
    <format dxfId="222">
      <pivotArea field="12" type="button" dataOnly="0" labelOnly="1" outline="0" axis="axisRow" fieldPosition="0"/>
    </format>
    <format dxfId="221">
      <pivotArea dataOnly="0" labelOnly="1" fieldPosition="0">
        <references count="1">
          <reference field="12" count="0"/>
        </references>
      </pivotArea>
    </format>
    <format dxfId="220">
      <pivotArea dataOnly="0" labelOnly="1" grandRow="1" outline="0" fieldPosition="0"/>
    </format>
    <format dxfId="219">
      <pivotArea dataOnly="0" labelOnly="1" outline="0" axis="axisValues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12" type="button" dataOnly="0" labelOnly="1" outline="0" axis="axisRow" fieldPosition="0"/>
    </format>
    <format dxfId="138">
      <pivotArea dataOnly="0" labelOnly="1" fieldPosition="0">
        <references count="1">
          <reference field="12" count="0"/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C9FAC-2184-4C1F-BBB8-CAEE8FDA72D6}" name="PivotTable1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71:B72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in of Lead Score" fld="11" subtotal="min" baseField="0" baseItem="0"/>
  </dataFields>
  <formats count="9">
    <format dxfId="287">
      <pivotArea type="all" dataOnly="0" outline="0" fieldPosition="0"/>
    </format>
    <format dxfId="286">
      <pivotArea outline="0" collapsedLevelsAreSubtotals="1" fieldPosition="0"/>
    </format>
    <format dxfId="285">
      <pivotArea dataOnly="0" labelOnly="1" outline="0" axis="axisValues" fieldPosition="0"/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dataOnly="0" labelOnly="1" outline="0" axis="axisValues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17100-CE61-4E71-BC19-DF8FF0497A77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B15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Lead Score" fld="11" subtotal="average" baseField="0" baseItem="0" numFmtId="164"/>
  </dataFields>
  <formats count="9">
    <format dxfId="284">
      <pivotArea type="all" dataOnly="0" outline="0" fieldPosition="0"/>
    </format>
    <format dxfId="283">
      <pivotArea outline="0" collapsedLevelsAreSubtotals="1" fieldPosition="0"/>
    </format>
    <format dxfId="282">
      <pivotArea dataOnly="0" labelOnly="1" outline="0" axis="axisValues" fieldPosition="0"/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1192F-8E40-498B-AD89-781126925356}" name="PivotTable11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16:J1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Lead Stage" fld="7" subtotal="count" baseField="0" baseItem="0"/>
    <dataField name="Count of Lead Stage2" fld="7" subtotal="count" showDataAs="percentOfTotal" baseField="7" baseItem="0" numFmtId="10"/>
  </dataFields>
  <formats count="17">
    <format dxfId="281">
      <pivotArea type="all" dataOnly="0" outline="0" fieldPosition="0"/>
    </format>
    <format dxfId="280">
      <pivotArea outline="0" collapsedLevelsAreSubtotals="1" fieldPosition="0"/>
    </format>
    <format dxfId="279">
      <pivotArea field="7" type="button" dataOnly="0" labelOnly="1" outline="0" axis="axisRow" fieldPosition="0"/>
    </format>
    <format dxfId="278">
      <pivotArea dataOnly="0" labelOnly="1" fieldPosition="0">
        <references count="1">
          <reference field="7" count="0"/>
        </references>
      </pivotArea>
    </format>
    <format dxfId="277">
      <pivotArea dataOnly="0" labelOnly="1" grandRow="1" outline="0" fieldPosition="0"/>
    </format>
    <format dxfId="2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7" type="button" dataOnly="0" labelOnly="1" outline="0" axis="axisRow" fieldPosition="0"/>
    </format>
    <format dxfId="209">
      <pivotArea dataOnly="0" labelOnly="1" fieldPosition="0">
        <references count="1">
          <reference field="7" count="0"/>
        </references>
      </pivotArea>
    </format>
    <format dxfId="208">
      <pivotArea dataOnly="0" labelOnly="1" grandRow="1" outline="0" fieldPosition="0"/>
    </format>
    <format dxfId="2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7" type="button" dataOnly="0" labelOnly="1" outline="0" axis="axisRow" fieldPosition="0"/>
    </format>
    <format dxfId="122">
      <pivotArea dataOnly="0" labelOnly="1" fieldPosition="0">
        <references count="1">
          <reference field="7" count="0"/>
        </references>
      </pivotArea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D30DB-73A2-4AE6-9B9D-5C014157C78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B1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Count of Enrolment Status" fld="20" subtotal="count" showDataAs="percentOfTotal" baseField="0" baseItem="0" numFmtId="10"/>
  </dataFields>
  <formats count="9">
    <format dxfId="275">
      <pivotArea type="all" dataOnly="0" outline="0" fieldPosition="0"/>
    </format>
    <format dxfId="274">
      <pivotArea outline="0" collapsedLevelsAreSubtotals="1" fieldPosition="0"/>
    </format>
    <format dxfId="273">
      <pivotArea dataOnly="0" labelOnly="1" outline="0" axis="axisValues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4034E-6834-4110-AC71-EC4000407BE7}" name="PivotTable9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3:I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">
    <i>
      <x/>
    </i>
    <i>
      <x v="1"/>
    </i>
  </rowItems>
  <colItems count="1">
    <i/>
  </colItems>
  <dataFields count="1">
    <dataField name="Count of Email Verification Status" fld="9" subtotal="count" showDataAs="percentOfTotal" baseField="9" baseItem="0" numFmtId="9"/>
  </dataFields>
  <formats count="17">
    <format dxfId="272">
      <pivotArea type="all" dataOnly="0" outline="0" fieldPosition="0"/>
    </format>
    <format dxfId="271">
      <pivotArea outline="0" collapsedLevelsAreSubtotals="1" fieldPosition="0"/>
    </format>
    <format dxfId="270">
      <pivotArea field="9" type="button" dataOnly="0" labelOnly="1" outline="0" axis="axisRow" fieldPosition="0"/>
    </format>
    <format dxfId="269">
      <pivotArea dataOnly="0" labelOnly="1" fieldPosition="0">
        <references count="1">
          <reference field="9" count="0"/>
        </references>
      </pivotArea>
    </format>
    <format dxfId="268">
      <pivotArea dataOnly="0" labelOnly="1" grandRow="1" outline="0" fieldPosition="0"/>
    </format>
    <format dxfId="267">
      <pivotArea dataOnly="0" labelOnly="1" outline="0" axis="axisValues" fieldPosition="0"/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9" type="button" dataOnly="0" labelOnly="1" outline="0" axis="axisRow" fieldPosition="0"/>
    </format>
    <format dxfId="200">
      <pivotArea dataOnly="0" labelOnly="1" fieldPosition="0">
        <references count="1">
          <reference field="9" count="0"/>
        </references>
      </pivotArea>
    </format>
    <format dxfId="199">
      <pivotArea dataOnly="0" labelOnly="1" grandRow="1" outline="0" fieldPosition="0"/>
    </format>
    <format dxfId="198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9" type="button" dataOnly="0" labelOnly="1" outline="0" axis="axisRow" fieldPosition="0"/>
    </format>
    <format dxfId="132">
      <pivotArea dataOnly="0" labelOnly="1" fieldPosition="0">
        <references count="1">
          <reference field="9" count="0"/>
        </references>
      </pivotArea>
    </format>
    <format dxfId="1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C8BFF-A0EC-40F6-BDE1-4F910D9E160F}" name="PivotTable1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58:C67" firstHeaderRow="1" firstDataRow="1" firstDataCol="1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1">
        <item x="5"/>
        <item x="10"/>
        <item x="2"/>
        <item x="0"/>
        <item x="13"/>
        <item x="18"/>
        <item x="17"/>
        <item x="6"/>
        <item x="15"/>
        <item x="19"/>
        <item x="14"/>
        <item x="1"/>
        <item x="3"/>
        <item x="7"/>
        <item x="11"/>
        <item x="16"/>
        <item x="4"/>
        <item x="8"/>
        <item x="9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9">
    <i>
      <x v="3"/>
    </i>
    <i>
      <x v="11"/>
    </i>
    <i>
      <x v="2"/>
    </i>
    <i>
      <x v="16"/>
    </i>
    <i>
      <x v="13"/>
    </i>
    <i>
      <x v="18"/>
    </i>
    <i>
      <x v="4"/>
    </i>
    <i>
      <x v="12"/>
    </i>
    <i t="grand">
      <x/>
    </i>
  </rowItems>
  <colItems count="1">
    <i/>
  </colItems>
  <dataFields count="1">
    <dataField name="Count of Lead Origin" fld="1" subtotal="count" baseField="0" baseItem="0"/>
  </dataFields>
  <formats count="21">
    <format dxfId="266">
      <pivotArea type="all" dataOnly="0" outline="0" fieldPosition="0"/>
    </format>
    <format dxfId="265">
      <pivotArea outline="0" collapsedLevelsAreSubtotals="1" fieldPosition="0"/>
    </format>
    <format dxfId="264">
      <pivotArea field="13" type="button" dataOnly="0" labelOnly="1" outline="0" axis="axisRow" fieldPosition="0"/>
    </format>
    <format dxfId="263">
      <pivotArea dataOnly="0" labelOnly="1" fieldPosition="0">
        <references count="1">
          <reference field="13" count="8">
            <x v="2"/>
            <x v="3"/>
            <x v="4"/>
            <x v="11"/>
            <x v="12"/>
            <x v="13"/>
            <x v="16"/>
            <x v="18"/>
          </reference>
        </references>
      </pivotArea>
    </format>
    <format dxfId="262">
      <pivotArea dataOnly="0" labelOnly="1" grandRow="1" outline="0" fieldPosition="0"/>
    </format>
    <format dxfId="261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13" type="button" dataOnly="0" labelOnly="1" outline="0" axis="axisRow" fieldPosition="0"/>
    </format>
    <format dxfId="194">
      <pivotArea dataOnly="0" labelOnly="1" fieldPosition="0">
        <references count="1">
          <reference field="13" count="8">
            <x v="2"/>
            <x v="3"/>
            <x v="4"/>
            <x v="11"/>
            <x v="12"/>
            <x v="13"/>
            <x v="16"/>
            <x v="18"/>
          </reference>
        </references>
      </pivotArea>
    </format>
    <format dxfId="193">
      <pivotArea dataOnly="0" labelOnly="1" grandRow="1" outline="0" fieldPosition="0"/>
    </format>
    <format dxfId="192">
      <pivotArea dataOnly="0" labelOnly="1" outline="0" axis="axisValues" fieldPosition="0"/>
    </format>
    <format dxfId="120">
      <pivotArea type="all" dataOnly="0" outline="0" fieldPosition="0"/>
    </format>
    <format dxfId="119">
      <pivotArea dataOnly="0" labelOnly="1" fieldPosition="0">
        <references count="1">
          <reference field="13" count="8">
            <x v="2"/>
            <x v="3"/>
            <x v="4"/>
            <x v="11"/>
            <x v="12"/>
            <x v="13"/>
            <x v="16"/>
            <x v="18"/>
          </reference>
        </references>
      </pivotArea>
    </format>
    <format dxfId="118">
      <pivotArea dataOnly="0" labelOnly="1" fieldPosition="0">
        <references count="1">
          <reference field="13" count="1">
            <x v="4"/>
          </reference>
        </references>
      </pivotArea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3" type="button" dataOnly="0" labelOnly="1" outline="0" axis="axisRow" fieldPosition="0"/>
    </format>
    <format dxfId="108">
      <pivotArea dataOnly="0" labelOnly="1" fieldPosition="0">
        <references count="1">
          <reference field="13" count="8">
            <x v="2"/>
            <x v="3"/>
            <x v="4"/>
            <x v="11"/>
            <x v="12"/>
            <x v="13"/>
            <x v="16"/>
            <x v="18"/>
          </reference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3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040BD-5A34-48EF-9F2D-AED5FB5AC708}" name="PivotTable8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3:E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">
    <i>
      <x/>
    </i>
  </rowItems>
  <colItems count="1">
    <i/>
  </colItems>
  <dataFields count="1">
    <dataField name="Count of Email Verification Status" fld="9" subtotal="count" showDataAs="percentOfTotal" baseField="10" baseItem="0" numFmtId="10"/>
  </dataFields>
  <formats count="17"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10" type="button" dataOnly="0" labelOnly="1" outline="0" axis="axisRow" fieldPosition="0"/>
    </format>
    <format dxfId="257">
      <pivotArea dataOnly="0" labelOnly="1" fieldPosition="0">
        <references count="1">
          <reference field="10" count="0"/>
        </references>
      </pivotArea>
    </format>
    <format dxfId="256">
      <pivotArea dataOnly="0" labelOnly="1" grandRow="1" outline="0" fieldPosition="0"/>
    </format>
    <format dxfId="255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10" type="button" dataOnly="0" labelOnly="1" outline="0" axis="axisRow" fieldPosition="0"/>
    </format>
    <format dxfId="188">
      <pivotArea dataOnly="0" labelOnly="1" fieldPosition="0">
        <references count="1">
          <reference field="10" count="0"/>
        </references>
      </pivotArea>
    </format>
    <format dxfId="187">
      <pivotArea dataOnly="0" labelOnly="1" grandRow="1" outline="0" fieldPosition="0"/>
    </format>
    <format dxfId="186">
      <pivotArea dataOnly="0" labelOnly="1" outline="0" axis="axisValues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10" type="button" dataOnly="0" labelOnly="1" outline="0" axis="axisRow" fieldPosition="0"/>
    </format>
    <format dxfId="143">
      <pivotArea dataOnly="0" labelOnly="1" fieldPosition="0">
        <references count="1">
          <reference field="10" count="0"/>
        </references>
      </pivotArea>
    </format>
    <format dxfId="1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D2F94-05E8-40BE-A0B8-3859E6ACB787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Lead Origin" fld="1" subtotal="count" baseField="0" baseItem="0"/>
  </dataFields>
  <formats count="9">
    <format dxfId="254">
      <pivotArea type="all" dataOnly="0" outline="0" fieldPosition="0"/>
    </format>
    <format dxfId="253">
      <pivotArea outline="0" collapsedLevelsAreSubtotals="1" fieldPosition="0"/>
    </format>
    <format dxfId="252">
      <pivotArea dataOnly="0" labelOnly="1" outline="0" axis="axisValues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outline="0" axis="axisValues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1A74B-1328-4503-BFA8-90C197BBD9FD}" name="PivotTable1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41:C51" firstHeaderRow="1" firstDataRow="1" firstDataCol="1"/>
  <pivotFields count="21">
    <pivotField showAll="0"/>
    <pivotField dataField="1"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ascending">
      <items count="25">
        <item x="12"/>
        <item x="4"/>
        <item x="10"/>
        <item x="11"/>
        <item x="0"/>
        <item x="19"/>
        <item x="9"/>
        <item x="18"/>
        <item x="16"/>
        <item x="5"/>
        <item x="23"/>
        <item x="17"/>
        <item x="3"/>
        <item x="22"/>
        <item x="2"/>
        <item x="1"/>
        <item x="14"/>
        <item x="7"/>
        <item x="8"/>
        <item x="6"/>
        <item x="21"/>
        <item x="20"/>
        <item x="15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4"/>
    </i>
    <i>
      <x v="5"/>
    </i>
    <i>
      <x v="3"/>
    </i>
    <i>
      <x/>
    </i>
    <i>
      <x v="18"/>
    </i>
    <i>
      <x v="19"/>
    </i>
    <i>
      <x v="6"/>
    </i>
    <i>
      <x v="15"/>
    </i>
    <i>
      <x v="14"/>
    </i>
    <i t="grand">
      <x/>
    </i>
  </rowItems>
  <colItems count="1">
    <i/>
  </colItems>
  <dataFields count="1">
    <dataField name="Count of Lead Origin" fld="1" subtotal="count" baseField="0" baseItem="0"/>
  </dataFields>
  <formats count="18">
    <format dxfId="251">
      <pivotArea type="all" dataOnly="0" outline="0" fieldPosition="0"/>
    </format>
    <format dxfId="250">
      <pivotArea outline="0" collapsedLevelsAreSubtotals="1" fieldPosition="0"/>
    </format>
    <format dxfId="249">
      <pivotArea field="4" type="button" dataOnly="0" labelOnly="1" outline="0" axis="axisRow" fieldPosition="0"/>
    </format>
    <format dxfId="248">
      <pivotArea dataOnly="0" labelOnly="1" fieldPosition="0">
        <references count="1">
          <reference field="4" count="9">
            <x v="0"/>
            <x v="3"/>
            <x v="4"/>
            <x v="5"/>
            <x v="6"/>
            <x v="14"/>
            <x v="15"/>
            <x v="18"/>
            <x v="19"/>
          </reference>
        </references>
      </pivotArea>
    </format>
    <format dxfId="247">
      <pivotArea dataOnly="0" labelOnly="1" grandRow="1" outline="0" fieldPosition="0"/>
    </format>
    <format dxfId="246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4" type="button" dataOnly="0" labelOnly="1" outline="0" axis="axisRow" fieldPosition="0"/>
    </format>
    <format dxfId="179">
      <pivotArea dataOnly="0" labelOnly="1" fieldPosition="0">
        <references count="1">
          <reference field="4" count="9">
            <x v="0"/>
            <x v="3"/>
            <x v="4"/>
            <x v="5"/>
            <x v="6"/>
            <x v="14"/>
            <x v="15"/>
            <x v="18"/>
            <x v="19"/>
          </reference>
        </references>
      </pivotArea>
    </format>
    <format dxfId="178">
      <pivotArea dataOnly="0" labelOnly="1" grandRow="1" outline="0" fieldPosition="0"/>
    </format>
    <format dxfId="177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4" type="button" dataOnly="0" labelOnly="1" outline="0" axis="axisRow" fieldPosition="0"/>
    </format>
    <format dxfId="114">
      <pivotArea dataOnly="0" labelOnly="1" fieldPosition="0">
        <references count="1">
          <reference field="4" count="9">
            <x v="0"/>
            <x v="3"/>
            <x v="4"/>
            <x v="5"/>
            <x v="6"/>
            <x v="14"/>
            <x v="15"/>
            <x v="18"/>
            <x v="19"/>
          </reference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8C375-4D2A-447E-96AA-6BBC66003E34}" name="PivotTable7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9:J11" firstHeaderRow="0" firstDataRow="1" firstDataCol="1"/>
  <pivotFields count="21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Lead Origin" fld="1" subtotal="count" showDataAs="percentOfTotal" baseField="1" baseItem="0" numFmtId="9"/>
    <dataField name="Count of Lead Origin2" fld="1" subtotal="count" baseField="0" baseItem="0"/>
  </dataFields>
  <formats count="17"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1" type="button" dataOnly="0" labelOnly="1" outline="0" axis="axisRow" fieldPosition="0"/>
    </format>
    <format dxfId="242">
      <pivotArea dataOnly="0" labelOnly="1" fieldPosition="0">
        <references count="1">
          <reference field="1" count="0"/>
        </references>
      </pivotArea>
    </format>
    <format dxfId="241">
      <pivotArea dataOnly="0" labelOnly="1" grandRow="1" outline="0" fieldPosition="0"/>
    </format>
    <format dxfId="2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" type="button" dataOnly="0" labelOnly="1" outline="0" axis="axisRow" fieldPosition="0"/>
    </format>
    <format dxfId="173">
      <pivotArea dataOnly="0" labelOnly="1" fieldPosition="0">
        <references count="1">
          <reference field="1" count="0"/>
        </references>
      </pivotArea>
    </format>
    <format dxfId="172">
      <pivotArea dataOnly="0" labelOnly="1" grandRow="1" outline="0" fieldPosition="0"/>
    </format>
    <format dxfId="1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1" type="button" dataOnly="0" labelOnly="1" outline="0" axis="axisRow" fieldPosition="0"/>
    </format>
    <format dxfId="127">
      <pivotArea dataOnly="0" labelOnly="1" fieldPosition="0">
        <references count="1">
          <reference field="1" count="0"/>
        </references>
      </pivotArea>
    </format>
    <format dxfId="1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C94D6-7F8E-4A86-96BD-A2E8DAFCC70D}" name="PivotTable1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25:C35" firstHeaderRow="1" firstDataRow="1" firstDataCol="1"/>
  <pivotFields count="21">
    <pivotField showAll="0"/>
    <pivotField dataField="1" showAll="0"/>
    <pivotField showAll="0"/>
    <pivotField axis="axisRow" showAll="0" sortType="ascending">
      <items count="10">
        <item x="8"/>
        <item x="5"/>
        <item x="2"/>
        <item x="0"/>
        <item x="4"/>
        <item x="6"/>
        <item x="7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/>
    </i>
    <i>
      <x v="7"/>
    </i>
    <i>
      <x v="5"/>
    </i>
    <i>
      <x v="6"/>
    </i>
    <i>
      <x v="1"/>
    </i>
    <i>
      <x v="4"/>
    </i>
    <i>
      <x v="3"/>
    </i>
    <i>
      <x v="2"/>
    </i>
    <i>
      <x v="8"/>
    </i>
    <i t="grand">
      <x/>
    </i>
  </rowItems>
  <colItems count="1">
    <i/>
  </colItems>
  <dataFields count="1">
    <dataField name="Count of Lead Origin" fld="1" subtotal="count" baseField="0" baseItem="0"/>
  </dataFields>
  <formats count="18"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3" type="button" dataOnly="0" labelOnly="1" outline="0" axis="axisRow" fieldPosition="0"/>
    </format>
    <format dxfId="236">
      <pivotArea dataOnly="0" labelOnly="1" fieldPosition="0">
        <references count="1">
          <reference field="3" count="0"/>
        </references>
      </pivotArea>
    </format>
    <format dxfId="235">
      <pivotArea dataOnly="0" labelOnly="1" grandRow="1" outline="0" fieldPosition="0"/>
    </format>
    <format dxfId="234">
      <pivotArea dataOnly="0" labelOnly="1" outline="0" axis="axisValues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3" type="button" dataOnly="0" labelOnly="1" outline="0" axis="axisRow" fieldPosition="0"/>
    </format>
    <format dxfId="167">
      <pivotArea dataOnly="0" labelOnly="1" fieldPosition="0">
        <references count="1">
          <reference field="3" count="0"/>
        </references>
      </pivotArea>
    </format>
    <format dxfId="166">
      <pivotArea dataOnly="0" labelOnly="1" grandRow="1" outline="0" fieldPosition="0"/>
    </format>
    <format dxfId="165">
      <pivotArea dataOnly="0" labelOnly="1" outline="0" axis="axisValues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3" type="button" dataOnly="0" labelOnly="1" outline="0" axis="axisRow" fieldPosition="0"/>
    </format>
    <format dxfId="149">
      <pivotArea dataOnly="0" labelOnly="1" fieldPosition="0">
        <references count="1">
          <reference field="3" count="0"/>
        </references>
      </pivotArea>
    </format>
    <format dxfId="148">
      <pivotArea dataOnly="0" labelOnly="1" grandRow="1" outline="0" fieldPosition="0"/>
    </format>
    <format dxfId="147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53A45-1A8D-47C1-A848-9A834BACF04D}" name="PivotTable2" cacheId="49" applyNumberFormats="0" applyBorderFormats="0" applyFontFormats="0" applyPatternFormats="0" applyAlignmentFormats="0" applyWidthHeightFormats="1" dataCaption="Values" tag="ec201691-9d03-440b-b54e-7423c54f723b" updatedVersion="8" minRefreshableVersion="3" useAutoFormatting="1" itemPrintTitles="1" createdVersion="8" indent="0" outline="1" outlineData="1" multipleFieldFilters="0" chartFormat="12">
  <location ref="B4:C16" firstHeaderRow="1" firstDataRow="1" firstDataCol="1"/>
  <pivotFields count="2">
    <pivotField axis="axisRow"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2">
    <i>
      <x v="10"/>
    </i>
    <i>
      <x v="9"/>
    </i>
    <i>
      <x v="2"/>
    </i>
    <i>
      <x v="3"/>
    </i>
    <i>
      <x v="6"/>
    </i>
    <i>
      <x/>
    </i>
    <i>
      <x v="8"/>
    </i>
    <i>
      <x v="4"/>
    </i>
    <i>
      <x v="1"/>
    </i>
    <i>
      <x v="7"/>
    </i>
    <i>
      <x v="5"/>
    </i>
    <i t="grand">
      <x/>
    </i>
  </rowItems>
  <colItems count="1">
    <i/>
  </colItems>
  <dataFields count="1">
    <dataField name="Count of Name" fld="1" subtotal="count" baseField="0" baseItem="0"/>
  </dataFields>
  <formats count="18">
    <format dxfId="320">
      <pivotArea type="all" dataOnly="0" outline="0" fieldPosition="0"/>
    </format>
    <format dxfId="319">
      <pivotArea outline="0" collapsedLevelsAreSubtotals="1" fieldPosition="0"/>
    </format>
    <format dxfId="318">
      <pivotArea field="0" type="button" dataOnly="0" labelOnly="1" outline="0" axis="axisRow" fieldPosition="0"/>
    </format>
    <format dxfId="317">
      <pivotArea dataOnly="0" labelOnly="1" fieldPosition="0">
        <references count="1">
          <reference field="0" count="0"/>
        </references>
      </pivotArea>
    </format>
    <format dxfId="316">
      <pivotArea dataOnly="0" labelOnly="1" grandRow="1" outline="0" fieldPosition="0"/>
    </format>
    <format dxfId="315">
      <pivotArea dataOnly="0" labelOnly="1" outline="0" axis="axisValues" fieldPosition="0"/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field="0" type="button" dataOnly="0" labelOnly="1" outline="0" axis="axisRow" fieldPosition="0"/>
    </format>
    <format dxfId="311">
      <pivotArea dataOnly="0" labelOnly="1" fieldPosition="0">
        <references count="1">
          <reference field="0" count="0"/>
        </references>
      </pivotArea>
    </format>
    <format dxfId="310">
      <pivotArea dataOnly="0" labelOnly="1" grandRow="1" outline="0" fieldPosition="0"/>
    </format>
    <format dxfId="309">
      <pivotArea dataOnly="0" labelOnly="1" outline="0" axis="axisValues" fieldPosition="0"/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0" type="button" dataOnly="0" labelOnly="1" outline="0" axis="axisRow" fieldPosition="0"/>
    </format>
    <format dxfId="305">
      <pivotArea dataOnly="0" labelOnly="1" fieldPosition="0">
        <references count="1">
          <reference field="0" count="0"/>
        </references>
      </pivotArea>
    </format>
    <format dxfId="304">
      <pivotArea dataOnly="0" labelOnly="1" grandRow="1" outline="0" fieldPosition="0"/>
    </format>
    <format dxfId="303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D3B23-9FF3-47F9-8279-D0B46065F8B8}" name="PivotTable4" cacheId="59" applyNumberFormats="0" applyBorderFormats="0" applyFontFormats="0" applyPatternFormats="0" applyAlignmentFormats="0" applyWidthHeightFormats="1" dataCaption="Values" tag="c9ae989f-833a-4385-93e4-0a8d73e6e489" updatedVersion="8" minRefreshableVersion="3" useAutoFormatting="1" itemPrintTitles="1" createdVersion="8" indent="0" outline="1" outlineData="1" multipleFieldFilters="0" chartFormat="8">
  <location ref="B5:C16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4"/>
    </i>
    <i>
      <x v="6"/>
    </i>
    <i>
      <x v="9"/>
    </i>
    <i>
      <x v="8"/>
    </i>
    <i>
      <x v="7"/>
    </i>
    <i>
      <x v="2"/>
    </i>
    <i>
      <x v="5"/>
    </i>
    <i>
      <x v="3"/>
    </i>
    <i t="grand">
      <x/>
    </i>
  </rowItems>
  <colItems count="1">
    <i/>
  </colItems>
  <dataFields count="1">
    <dataField name="Count of Course" fld="1" subtotal="count" baseField="0" baseItem="0"/>
  </dataFields>
  <formats count="18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5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56398-03B6-41BE-80C6-60A446BF82BA}" name="Table1" displayName="Table1" ref="A1:U57" totalsRowShown="0" headerRowDxfId="321" dataDxfId="322" headerRowBorderDxfId="345" tableBorderDxfId="346" totalsRowBorderDxfId="344">
  <autoFilter ref="A1:U57" xr:uid="{77156398-03B6-41BE-80C6-60A446BF82BA}"/>
  <tableColumns count="21">
    <tableColumn id="1" xr3:uid="{C8680F52-4B03-4663-9F72-204EF5711F06}" name="Name" dataDxfId="343"/>
    <tableColumn id="2" xr3:uid="{81DC408F-97B4-4B1F-9DCA-C5EE577A5AE6}" name="Lead Origin" dataDxfId="342"/>
    <tableColumn id="3" xr3:uid="{A03E86C7-C40F-457D-800D-1E109A555BC7}" name="Country" dataDxfId="341"/>
    <tableColumn id="4" xr3:uid="{832A08D7-66BE-401F-B541-C4904B70F55A}" name="State" dataDxfId="340"/>
    <tableColumn id="5" xr3:uid="{D51B8B61-0099-41B9-9983-18BBFD956C05}" name="City" dataDxfId="339"/>
    <tableColumn id="6" xr3:uid="{5F9B8D59-C423-458E-81EA-B37CFD23111E}" name="Instance" dataDxfId="338"/>
    <tableColumn id="7" xr3:uid="{F012D317-DB79-4721-A3AD-AECBDF0ED57B}" name="Instance Date" dataDxfId="337"/>
    <tableColumn id="8" xr3:uid="{01422CF7-DB0F-40CE-A5F7-71EFE47E7F3A}" name="Lead Stage" dataDxfId="336"/>
    <tableColumn id="9" xr3:uid="{2F84E6C4-C4E8-493C-870F-E9E1E8047150}" name="Lead Status" dataDxfId="335"/>
    <tableColumn id="10" xr3:uid="{E223D6B7-DC4C-408F-8AE0-8895B63F621B}" name="Email Verification Status" dataDxfId="334"/>
    <tableColumn id="11" xr3:uid="{72D87530-F033-493C-AB40-E9269A5E0A97}" name="Mobile Verification Status" dataDxfId="333"/>
    <tableColumn id="12" xr3:uid="{DD27ECDF-8ABC-4EC0-B920-1DF50294735E}" name="Lead Score" dataDxfId="332"/>
    <tableColumn id="13" xr3:uid="{A3A23322-3484-4BB0-BC65-2BFC0A450DEC}" name="Registration Device" dataDxfId="331"/>
    <tableColumn id="14" xr3:uid="{4FF7DE9A-1096-4198-9202-F0CE036D402D}" name="Course" dataDxfId="330"/>
    <tableColumn id="15" xr3:uid="{ADD6104B-A990-4ABB-B8A5-2B29D5C49763}" name="Specialization" dataDxfId="329"/>
    <tableColumn id="16" xr3:uid="{E24000F1-6AD0-468F-8F85-7466D6E54EB7}" name="Campus" dataDxfId="328"/>
    <tableColumn id="17" xr3:uid="{BA24DE81-7693-41C8-B255-F1DE9D8B9447}" name="Last Lead Activity Date" dataDxfId="327"/>
    <tableColumn id="18" xr3:uid="{8C87E907-15CF-41C6-8FDF-882AFDC76FB5}" name="Lead Day" dataDxfId="326">
      <calculatedColumnFormula>TEXT(Q2,"MMMM")</calculatedColumnFormula>
    </tableColumn>
    <tableColumn id="19" xr3:uid="{1E7CE944-D25D-48E5-A1DB-F1082BC751BD}" name="Form Initiated" dataDxfId="325"/>
    <tableColumn id="20" xr3:uid="{B6F31AF7-6FB9-4B22-BB15-AA8DD8525FEB}" name="Paid Applications" dataDxfId="324"/>
    <tableColumn id="21" xr3:uid="{EAEFCBD8-C09B-408F-ACE7-27BB3937FD24}" name="Enrolment Status" dataDxfId="3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D5E4-0C6D-45BC-8CF9-67519185503C}">
  <dimension ref="A1:U57"/>
  <sheetViews>
    <sheetView workbookViewId="0">
      <selection activeCell="A5" sqref="A5"/>
    </sheetView>
  </sheetViews>
  <sheetFormatPr defaultColWidth="23.6640625" defaultRowHeight="14.4" x14ac:dyDescent="0.3"/>
  <cols>
    <col min="7" max="7" width="23.6640625" style="3"/>
    <col min="11" max="11" width="24.21875" customWidth="1"/>
    <col min="15" max="15" width="31.44140625" customWidth="1"/>
    <col min="17" max="18" width="23.6640625" style="3"/>
  </cols>
  <sheetData>
    <row r="1" spans="1:2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214</v>
      </c>
      <c r="S1" s="12" t="s">
        <v>17</v>
      </c>
      <c r="T1" s="12" t="s">
        <v>18</v>
      </c>
      <c r="U1" s="13" t="s">
        <v>19</v>
      </c>
    </row>
    <row r="2" spans="1:21" x14ac:dyDescent="0.3">
      <c r="A2" s="5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29</v>
      </c>
      <c r="L2" s="1">
        <v>88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tr">
        <f>TEXT(Q2,"MMMM")</f>
        <v>August</v>
      </c>
      <c r="S2" s="1">
        <v>1</v>
      </c>
      <c r="T2" s="1">
        <v>1</v>
      </c>
      <c r="U2" s="6" t="s">
        <v>29</v>
      </c>
    </row>
    <row r="3" spans="1:21" x14ac:dyDescent="0.3">
      <c r="A3" s="5" t="s">
        <v>35</v>
      </c>
      <c r="B3" s="1" t="s">
        <v>36</v>
      </c>
      <c r="C3" s="1" t="s">
        <v>22</v>
      </c>
      <c r="D3" s="1" t="s">
        <v>37</v>
      </c>
      <c r="E3" s="1" t="s">
        <v>38</v>
      </c>
      <c r="F3" s="1" t="s">
        <v>25</v>
      </c>
      <c r="G3" s="1" t="s">
        <v>39</v>
      </c>
      <c r="H3" s="1" t="s">
        <v>27</v>
      </c>
      <c r="I3" s="1" t="s">
        <v>28</v>
      </c>
      <c r="J3" s="1" t="s">
        <v>29</v>
      </c>
      <c r="K3" s="1" t="s">
        <v>29</v>
      </c>
      <c r="L3" s="1">
        <v>51</v>
      </c>
      <c r="M3" s="1"/>
      <c r="N3" s="1" t="s">
        <v>40</v>
      </c>
      <c r="O3" s="1" t="s">
        <v>32</v>
      </c>
      <c r="P3" s="1" t="s">
        <v>33</v>
      </c>
      <c r="Q3" s="1" t="s">
        <v>41</v>
      </c>
      <c r="R3" s="1" t="str">
        <f t="shared" ref="R3:R57" si="0">TEXT(Q3,"MMMM")</f>
        <v>August</v>
      </c>
      <c r="S3" s="1">
        <v>1</v>
      </c>
      <c r="T3" s="1">
        <v>1</v>
      </c>
      <c r="U3" s="6" t="s">
        <v>29</v>
      </c>
    </row>
    <row r="4" spans="1:21" x14ac:dyDescent="0.3">
      <c r="A4" s="5" t="s">
        <v>42</v>
      </c>
      <c r="B4" s="1" t="s">
        <v>36</v>
      </c>
      <c r="C4" s="1" t="s">
        <v>22</v>
      </c>
      <c r="D4" s="1" t="s">
        <v>43</v>
      </c>
      <c r="E4" s="1" t="s">
        <v>44</v>
      </c>
      <c r="F4" s="1" t="s">
        <v>25</v>
      </c>
      <c r="G4" s="1" t="s">
        <v>45</v>
      </c>
      <c r="H4" s="1" t="s">
        <v>27</v>
      </c>
      <c r="I4" s="1" t="s">
        <v>28</v>
      </c>
      <c r="J4" s="1" t="s">
        <v>46</v>
      </c>
      <c r="K4" s="1" t="s">
        <v>29</v>
      </c>
      <c r="L4" s="1">
        <v>63</v>
      </c>
      <c r="M4" s="1"/>
      <c r="N4" s="1" t="s">
        <v>47</v>
      </c>
      <c r="O4" s="1" t="s">
        <v>32</v>
      </c>
      <c r="P4" s="1" t="s">
        <v>33</v>
      </c>
      <c r="Q4" s="1" t="s">
        <v>48</v>
      </c>
      <c r="R4" s="1" t="str">
        <f t="shared" si="0"/>
        <v>August</v>
      </c>
      <c r="S4" s="1">
        <v>1</v>
      </c>
      <c r="T4" s="1">
        <v>1</v>
      </c>
      <c r="U4" s="6" t="s">
        <v>29</v>
      </c>
    </row>
    <row r="5" spans="1:21" x14ac:dyDescent="0.3">
      <c r="A5" s="5" t="s">
        <v>49</v>
      </c>
      <c r="B5" s="1" t="s">
        <v>36</v>
      </c>
      <c r="C5" s="1" t="s">
        <v>22</v>
      </c>
      <c r="D5" s="1" t="s">
        <v>43</v>
      </c>
      <c r="E5" s="1" t="s">
        <v>44</v>
      </c>
      <c r="F5" s="1" t="s">
        <v>25</v>
      </c>
      <c r="G5" s="1" t="s">
        <v>50</v>
      </c>
      <c r="H5" s="1" t="s">
        <v>27</v>
      </c>
      <c r="I5" s="1" t="s">
        <v>28</v>
      </c>
      <c r="J5" s="1" t="s">
        <v>29</v>
      </c>
      <c r="K5" s="1" t="s">
        <v>29</v>
      </c>
      <c r="L5" s="1">
        <v>110</v>
      </c>
      <c r="M5" s="1"/>
      <c r="N5" s="1" t="s">
        <v>51</v>
      </c>
      <c r="O5" s="1" t="s">
        <v>32</v>
      </c>
      <c r="P5" s="1" t="s">
        <v>33</v>
      </c>
      <c r="Q5" s="2">
        <v>45785.878472222219</v>
      </c>
      <c r="R5" s="1" t="str">
        <f t="shared" si="0"/>
        <v>May</v>
      </c>
      <c r="S5" s="1">
        <v>3</v>
      </c>
      <c r="T5" s="1">
        <v>1</v>
      </c>
      <c r="U5" s="6" t="s">
        <v>29</v>
      </c>
    </row>
    <row r="6" spans="1:21" x14ac:dyDescent="0.3">
      <c r="A6" s="5" t="s">
        <v>52</v>
      </c>
      <c r="B6" s="1" t="s">
        <v>36</v>
      </c>
      <c r="C6" s="1" t="s">
        <v>22</v>
      </c>
      <c r="D6" s="1" t="s">
        <v>37</v>
      </c>
      <c r="E6" s="1" t="s">
        <v>38</v>
      </c>
      <c r="F6" s="1" t="s">
        <v>25</v>
      </c>
      <c r="G6" s="1" t="s">
        <v>53</v>
      </c>
      <c r="H6" s="1" t="s">
        <v>27</v>
      </c>
      <c r="I6" s="1" t="s">
        <v>28</v>
      </c>
      <c r="J6" s="1" t="s">
        <v>46</v>
      </c>
      <c r="K6" s="1" t="s">
        <v>29</v>
      </c>
      <c r="L6" s="1">
        <v>85</v>
      </c>
      <c r="M6" s="1"/>
      <c r="N6" s="1" t="s">
        <v>51</v>
      </c>
      <c r="O6" s="1" t="s">
        <v>32</v>
      </c>
      <c r="P6" s="1" t="s">
        <v>33</v>
      </c>
      <c r="Q6" s="2">
        <v>45696.55</v>
      </c>
      <c r="R6" s="1" t="str">
        <f t="shared" si="0"/>
        <v>February</v>
      </c>
      <c r="S6" s="1">
        <v>1</v>
      </c>
      <c r="T6" s="1">
        <v>1</v>
      </c>
      <c r="U6" s="6" t="s">
        <v>29</v>
      </c>
    </row>
    <row r="7" spans="1:21" x14ac:dyDescent="0.3">
      <c r="A7" s="5" t="s">
        <v>54</v>
      </c>
      <c r="B7" s="1" t="s">
        <v>21</v>
      </c>
      <c r="C7" s="1" t="s">
        <v>22</v>
      </c>
      <c r="D7" s="1" t="s">
        <v>37</v>
      </c>
      <c r="E7" s="1" t="s">
        <v>55</v>
      </c>
      <c r="F7" s="1" t="s">
        <v>25</v>
      </c>
      <c r="G7" s="4">
        <v>45845</v>
      </c>
      <c r="H7" s="1" t="s">
        <v>27</v>
      </c>
      <c r="I7" s="1" t="s">
        <v>28</v>
      </c>
      <c r="J7" s="1" t="s">
        <v>46</v>
      </c>
      <c r="K7" s="1" t="s">
        <v>29</v>
      </c>
      <c r="L7" s="1">
        <v>45</v>
      </c>
      <c r="M7" s="1" t="s">
        <v>30</v>
      </c>
      <c r="N7" s="1" t="s">
        <v>56</v>
      </c>
      <c r="O7" s="1" t="s">
        <v>32</v>
      </c>
      <c r="P7" s="1" t="s">
        <v>33</v>
      </c>
      <c r="Q7" s="2">
        <v>45845.481944444444</v>
      </c>
      <c r="R7" s="1" t="str">
        <f t="shared" si="0"/>
        <v>July</v>
      </c>
      <c r="S7" s="1">
        <v>1</v>
      </c>
      <c r="T7" s="1">
        <v>1</v>
      </c>
      <c r="U7" s="6" t="s">
        <v>29</v>
      </c>
    </row>
    <row r="8" spans="1:21" x14ac:dyDescent="0.3">
      <c r="A8" s="5" t="s">
        <v>57</v>
      </c>
      <c r="B8" s="1" t="s">
        <v>36</v>
      </c>
      <c r="C8" s="1" t="s">
        <v>22</v>
      </c>
      <c r="D8" s="1" t="s">
        <v>37</v>
      </c>
      <c r="E8" s="1" t="s">
        <v>58</v>
      </c>
      <c r="F8" s="1" t="s">
        <v>25</v>
      </c>
      <c r="G8" s="4">
        <v>45664</v>
      </c>
      <c r="H8" s="1" t="s">
        <v>27</v>
      </c>
      <c r="I8" s="1" t="s">
        <v>28</v>
      </c>
      <c r="J8" s="1" t="s">
        <v>29</v>
      </c>
      <c r="K8" s="1" t="s">
        <v>29</v>
      </c>
      <c r="L8" s="1">
        <v>103</v>
      </c>
      <c r="M8" s="1"/>
      <c r="N8" s="1" t="s">
        <v>31</v>
      </c>
      <c r="O8" s="1" t="s">
        <v>32</v>
      </c>
      <c r="P8" s="1" t="s">
        <v>33</v>
      </c>
      <c r="Q8" s="2">
        <v>45756.800694444442</v>
      </c>
      <c r="R8" s="1" t="str">
        <f t="shared" si="0"/>
        <v>April</v>
      </c>
      <c r="S8" s="1">
        <v>1</v>
      </c>
      <c r="T8" s="1">
        <v>1</v>
      </c>
      <c r="U8" s="6" t="s">
        <v>29</v>
      </c>
    </row>
    <row r="9" spans="1:21" x14ac:dyDescent="0.3">
      <c r="A9" s="5" t="s">
        <v>59</v>
      </c>
      <c r="B9" s="1" t="s">
        <v>36</v>
      </c>
      <c r="C9" s="1" t="s">
        <v>22</v>
      </c>
      <c r="D9" s="1" t="s">
        <v>60</v>
      </c>
      <c r="E9" s="1" t="s">
        <v>61</v>
      </c>
      <c r="F9" s="1" t="s">
        <v>25</v>
      </c>
      <c r="G9" s="1" t="s">
        <v>62</v>
      </c>
      <c r="H9" s="1" t="s">
        <v>27</v>
      </c>
      <c r="I9" s="1" t="s">
        <v>28</v>
      </c>
      <c r="J9" s="1" t="s">
        <v>29</v>
      </c>
      <c r="K9" s="1" t="s">
        <v>29</v>
      </c>
      <c r="L9" s="1">
        <v>85</v>
      </c>
      <c r="M9" s="1"/>
      <c r="N9" s="1" t="s">
        <v>31</v>
      </c>
      <c r="O9" s="1" t="s">
        <v>32</v>
      </c>
      <c r="P9" s="1" t="s">
        <v>33</v>
      </c>
      <c r="Q9" s="1" t="s">
        <v>63</v>
      </c>
      <c r="R9" s="1" t="str">
        <f t="shared" si="0"/>
        <v>July</v>
      </c>
      <c r="S9" s="1">
        <v>1</v>
      </c>
      <c r="T9" s="1">
        <v>1</v>
      </c>
      <c r="U9" s="6" t="s">
        <v>29</v>
      </c>
    </row>
    <row r="10" spans="1:21" x14ac:dyDescent="0.3">
      <c r="A10" s="5" t="s">
        <v>64</v>
      </c>
      <c r="B10" s="1" t="s">
        <v>21</v>
      </c>
      <c r="C10" s="1" t="s">
        <v>22</v>
      </c>
      <c r="D10" s="1" t="s">
        <v>65</v>
      </c>
      <c r="E10" s="1" t="s">
        <v>66</v>
      </c>
      <c r="F10" s="1" t="s">
        <v>25</v>
      </c>
      <c r="G10" s="1" t="s">
        <v>67</v>
      </c>
      <c r="H10" s="1" t="s">
        <v>68</v>
      </c>
      <c r="I10" s="1" t="s">
        <v>28</v>
      </c>
      <c r="J10" s="1" t="s">
        <v>29</v>
      </c>
      <c r="K10" s="1" t="s">
        <v>29</v>
      </c>
      <c r="L10" s="1">
        <v>123</v>
      </c>
      <c r="M10" s="1" t="s">
        <v>30</v>
      </c>
      <c r="N10" s="1" t="s">
        <v>31</v>
      </c>
      <c r="O10" s="1" t="s">
        <v>32</v>
      </c>
      <c r="P10" s="1" t="s">
        <v>33</v>
      </c>
      <c r="Q10" s="1" t="s">
        <v>69</v>
      </c>
      <c r="R10" s="1" t="str">
        <f t="shared" si="0"/>
        <v>June</v>
      </c>
      <c r="S10" s="1">
        <v>1</v>
      </c>
      <c r="T10" s="1">
        <v>1</v>
      </c>
      <c r="U10" s="6" t="s">
        <v>29</v>
      </c>
    </row>
    <row r="11" spans="1:21" x14ac:dyDescent="0.3">
      <c r="A11" s="5" t="s">
        <v>70</v>
      </c>
      <c r="B11" s="1" t="s">
        <v>21</v>
      </c>
      <c r="C11" s="1" t="s">
        <v>22</v>
      </c>
      <c r="D11" s="1" t="s">
        <v>37</v>
      </c>
      <c r="E11" s="1" t="s">
        <v>71</v>
      </c>
      <c r="F11" s="1" t="s">
        <v>25</v>
      </c>
      <c r="G11" s="1" t="s">
        <v>67</v>
      </c>
      <c r="H11" s="1" t="s">
        <v>68</v>
      </c>
      <c r="I11" s="1" t="s">
        <v>28</v>
      </c>
      <c r="J11" s="1" t="s">
        <v>46</v>
      </c>
      <c r="K11" s="1" t="s">
        <v>29</v>
      </c>
      <c r="L11" s="1">
        <v>100</v>
      </c>
      <c r="M11" s="1" t="s">
        <v>30</v>
      </c>
      <c r="N11" s="1" t="s">
        <v>31</v>
      </c>
      <c r="O11" s="1" t="s">
        <v>32</v>
      </c>
      <c r="P11" s="1" t="s">
        <v>33</v>
      </c>
      <c r="Q11" s="1" t="s">
        <v>72</v>
      </c>
      <c r="R11" s="1" t="str">
        <f t="shared" si="0"/>
        <v>June</v>
      </c>
      <c r="S11" s="1">
        <v>1</v>
      </c>
      <c r="T11" s="1">
        <v>1</v>
      </c>
      <c r="U11" s="6" t="s">
        <v>29</v>
      </c>
    </row>
    <row r="12" spans="1:21" x14ac:dyDescent="0.3">
      <c r="A12" s="5" t="s">
        <v>73</v>
      </c>
      <c r="B12" s="1" t="s">
        <v>21</v>
      </c>
      <c r="C12" s="1" t="s">
        <v>22</v>
      </c>
      <c r="D12" s="1" t="s">
        <v>43</v>
      </c>
      <c r="E12" s="1" t="s">
        <v>44</v>
      </c>
      <c r="F12" s="1" t="s">
        <v>25</v>
      </c>
      <c r="G12" s="1" t="s">
        <v>74</v>
      </c>
      <c r="H12" s="1" t="s">
        <v>27</v>
      </c>
      <c r="I12" s="1" t="s">
        <v>28</v>
      </c>
      <c r="J12" s="1" t="s">
        <v>46</v>
      </c>
      <c r="K12" s="1" t="s">
        <v>29</v>
      </c>
      <c r="L12" s="1">
        <v>111</v>
      </c>
      <c r="M12" s="1" t="s">
        <v>30</v>
      </c>
      <c r="N12" s="1" t="s">
        <v>75</v>
      </c>
      <c r="O12" s="1" t="s">
        <v>32</v>
      </c>
      <c r="P12" s="1" t="s">
        <v>33</v>
      </c>
      <c r="Q12" s="2">
        <v>45969.634027777778</v>
      </c>
      <c r="R12" s="1" t="str">
        <f t="shared" si="0"/>
        <v>November</v>
      </c>
      <c r="S12" s="1">
        <v>3</v>
      </c>
      <c r="T12" s="1">
        <v>3</v>
      </c>
      <c r="U12" s="6" t="s">
        <v>29</v>
      </c>
    </row>
    <row r="13" spans="1:21" x14ac:dyDescent="0.3">
      <c r="A13" s="5" t="s">
        <v>76</v>
      </c>
      <c r="B13" s="1" t="s">
        <v>36</v>
      </c>
      <c r="C13" s="1" t="s">
        <v>22</v>
      </c>
      <c r="D13" s="1" t="s">
        <v>43</v>
      </c>
      <c r="E13" s="1" t="s">
        <v>44</v>
      </c>
      <c r="F13" s="1" t="s">
        <v>25</v>
      </c>
      <c r="G13" s="1" t="s">
        <v>77</v>
      </c>
      <c r="H13" s="1" t="s">
        <v>27</v>
      </c>
      <c r="I13" s="1" t="s">
        <v>28</v>
      </c>
      <c r="J13" s="1" t="s">
        <v>29</v>
      </c>
      <c r="K13" s="1" t="s">
        <v>29</v>
      </c>
      <c r="L13" s="1">
        <v>89</v>
      </c>
      <c r="M13" s="1"/>
      <c r="N13" s="1" t="s">
        <v>78</v>
      </c>
      <c r="O13" s="1" t="s">
        <v>32</v>
      </c>
      <c r="P13" s="1" t="s">
        <v>33</v>
      </c>
      <c r="Q13" s="2">
        <v>45665.693055555559</v>
      </c>
      <c r="R13" s="1" t="str">
        <f t="shared" si="0"/>
        <v>January</v>
      </c>
      <c r="S13" s="1">
        <v>1</v>
      </c>
      <c r="T13" s="1">
        <v>1</v>
      </c>
      <c r="U13" s="6" t="s">
        <v>29</v>
      </c>
    </row>
    <row r="14" spans="1:21" x14ac:dyDescent="0.3">
      <c r="A14" s="5" t="s">
        <v>79</v>
      </c>
      <c r="B14" s="1" t="s">
        <v>36</v>
      </c>
      <c r="C14" s="1" t="s">
        <v>22</v>
      </c>
      <c r="D14" s="1" t="s">
        <v>80</v>
      </c>
      <c r="E14" s="1" t="s">
        <v>81</v>
      </c>
      <c r="F14" s="1" t="s">
        <v>25</v>
      </c>
      <c r="G14" s="4">
        <v>45967</v>
      </c>
      <c r="H14" s="1" t="s">
        <v>27</v>
      </c>
      <c r="I14" s="1" t="s">
        <v>28</v>
      </c>
      <c r="J14" s="1" t="s">
        <v>29</v>
      </c>
      <c r="K14" s="1" t="s">
        <v>29</v>
      </c>
      <c r="L14" s="1">
        <v>84</v>
      </c>
      <c r="M14" s="1"/>
      <c r="N14" s="1" t="s">
        <v>82</v>
      </c>
      <c r="O14" s="1" t="s">
        <v>32</v>
      </c>
      <c r="P14" s="1" t="s">
        <v>33</v>
      </c>
      <c r="Q14" s="1" t="s">
        <v>83</v>
      </c>
      <c r="R14" s="1" t="str">
        <f t="shared" si="0"/>
        <v>July</v>
      </c>
      <c r="S14" s="1">
        <v>1</v>
      </c>
      <c r="T14" s="1">
        <v>1</v>
      </c>
      <c r="U14" s="6" t="s">
        <v>29</v>
      </c>
    </row>
    <row r="15" spans="1:21" x14ac:dyDescent="0.3">
      <c r="A15" s="5" t="s">
        <v>84</v>
      </c>
      <c r="B15" s="1" t="s">
        <v>21</v>
      </c>
      <c r="C15" s="1" t="s">
        <v>22</v>
      </c>
      <c r="D15" s="1" t="s">
        <v>65</v>
      </c>
      <c r="E15" s="1" t="s">
        <v>66</v>
      </c>
      <c r="F15" s="1" t="s">
        <v>25</v>
      </c>
      <c r="G15" s="4">
        <v>45844</v>
      </c>
      <c r="H15" s="1" t="s">
        <v>27</v>
      </c>
      <c r="I15" s="1" t="s">
        <v>28</v>
      </c>
      <c r="J15" s="1" t="s">
        <v>29</v>
      </c>
      <c r="K15" s="1" t="s">
        <v>29</v>
      </c>
      <c r="L15" s="1">
        <v>127</v>
      </c>
      <c r="M15" s="1" t="s">
        <v>30</v>
      </c>
      <c r="N15" s="1" t="s">
        <v>31</v>
      </c>
      <c r="O15" s="1" t="s">
        <v>32</v>
      </c>
      <c r="P15" s="1" t="s">
        <v>33</v>
      </c>
      <c r="Q15" s="1" t="s">
        <v>85</v>
      </c>
      <c r="R15" s="1" t="str">
        <f t="shared" si="0"/>
        <v>June</v>
      </c>
      <c r="S15" s="1">
        <v>2</v>
      </c>
      <c r="T15" s="1">
        <v>1</v>
      </c>
      <c r="U15" s="6" t="s">
        <v>29</v>
      </c>
    </row>
    <row r="16" spans="1:21" x14ac:dyDescent="0.3">
      <c r="A16" s="5" t="s">
        <v>86</v>
      </c>
      <c r="B16" s="1" t="s">
        <v>36</v>
      </c>
      <c r="C16" s="1" t="s">
        <v>22</v>
      </c>
      <c r="D16" s="1" t="s">
        <v>43</v>
      </c>
      <c r="E16" s="1" t="s">
        <v>44</v>
      </c>
      <c r="F16" s="1" t="s">
        <v>25</v>
      </c>
      <c r="G16" s="4">
        <v>45844</v>
      </c>
      <c r="H16" s="1" t="s">
        <v>68</v>
      </c>
      <c r="I16" s="1" t="s">
        <v>28</v>
      </c>
      <c r="J16" s="1" t="s">
        <v>29</v>
      </c>
      <c r="K16" s="1" t="s">
        <v>29</v>
      </c>
      <c r="L16" s="1">
        <v>81</v>
      </c>
      <c r="M16" s="1"/>
      <c r="N16" s="1" t="s">
        <v>31</v>
      </c>
      <c r="O16" s="1" t="s">
        <v>32</v>
      </c>
      <c r="P16" s="1" t="s">
        <v>33</v>
      </c>
      <c r="Q16" s="1" t="s">
        <v>87</v>
      </c>
      <c r="R16" s="1" t="str">
        <f t="shared" si="0"/>
        <v>June</v>
      </c>
      <c r="S16" s="1">
        <v>1</v>
      </c>
      <c r="T16" s="1">
        <v>1</v>
      </c>
      <c r="U16" s="6" t="s">
        <v>29</v>
      </c>
    </row>
    <row r="17" spans="1:21" x14ac:dyDescent="0.3">
      <c r="A17" s="5" t="s">
        <v>88</v>
      </c>
      <c r="B17" s="1" t="s">
        <v>21</v>
      </c>
      <c r="C17" s="1" t="s">
        <v>22</v>
      </c>
      <c r="D17" s="1" t="s">
        <v>65</v>
      </c>
      <c r="E17" s="1" t="s">
        <v>66</v>
      </c>
      <c r="F17" s="1" t="s">
        <v>25</v>
      </c>
      <c r="G17" s="1" t="s">
        <v>89</v>
      </c>
      <c r="H17" s="1" t="s">
        <v>27</v>
      </c>
      <c r="I17" s="1" t="s">
        <v>28</v>
      </c>
      <c r="J17" s="1" t="s">
        <v>46</v>
      </c>
      <c r="K17" s="1" t="s">
        <v>29</v>
      </c>
      <c r="L17" s="1">
        <v>75</v>
      </c>
      <c r="M17" s="1" t="s">
        <v>90</v>
      </c>
      <c r="N17" s="1" t="s">
        <v>56</v>
      </c>
      <c r="O17" s="1" t="s">
        <v>32</v>
      </c>
      <c r="P17" s="1" t="s">
        <v>33</v>
      </c>
      <c r="Q17" s="1" t="s">
        <v>91</v>
      </c>
      <c r="R17" s="1" t="str">
        <f t="shared" si="0"/>
        <v>May</v>
      </c>
      <c r="S17" s="1">
        <v>2</v>
      </c>
      <c r="T17" s="1">
        <v>1</v>
      </c>
      <c r="U17" s="6" t="s">
        <v>29</v>
      </c>
    </row>
    <row r="18" spans="1:21" x14ac:dyDescent="0.3">
      <c r="A18" s="5" t="s">
        <v>92</v>
      </c>
      <c r="B18" s="1" t="s">
        <v>36</v>
      </c>
      <c r="C18" s="1" t="s">
        <v>22</v>
      </c>
      <c r="D18" s="1" t="s">
        <v>37</v>
      </c>
      <c r="E18" s="1" t="s">
        <v>93</v>
      </c>
      <c r="F18" s="1" t="s">
        <v>25</v>
      </c>
      <c r="G18" s="1" t="s">
        <v>89</v>
      </c>
      <c r="H18" s="1" t="s">
        <v>27</v>
      </c>
      <c r="I18" s="1" t="s">
        <v>28</v>
      </c>
      <c r="J18" s="1" t="s">
        <v>29</v>
      </c>
      <c r="K18" s="1" t="s">
        <v>29</v>
      </c>
      <c r="L18" s="1">
        <v>86</v>
      </c>
      <c r="M18" s="1"/>
      <c r="N18" s="1" t="s">
        <v>94</v>
      </c>
      <c r="O18" s="1" t="s">
        <v>32</v>
      </c>
      <c r="P18" s="1" t="s">
        <v>33</v>
      </c>
      <c r="Q18" s="1" t="s">
        <v>95</v>
      </c>
      <c r="R18" s="1" t="str">
        <f t="shared" si="0"/>
        <v>June</v>
      </c>
      <c r="S18" s="1">
        <v>1</v>
      </c>
      <c r="T18" s="1">
        <v>1</v>
      </c>
      <c r="U18" s="6" t="s">
        <v>29</v>
      </c>
    </row>
    <row r="19" spans="1:21" x14ac:dyDescent="0.3">
      <c r="A19" s="5" t="s">
        <v>96</v>
      </c>
      <c r="B19" s="1" t="s">
        <v>36</v>
      </c>
      <c r="C19" s="1" t="s">
        <v>22</v>
      </c>
      <c r="D19" s="1" t="s">
        <v>37</v>
      </c>
      <c r="E19" s="1" t="s">
        <v>93</v>
      </c>
      <c r="F19" s="1" t="s">
        <v>25</v>
      </c>
      <c r="G19" s="1" t="s">
        <v>89</v>
      </c>
      <c r="H19" s="1" t="s">
        <v>68</v>
      </c>
      <c r="I19" s="1" t="s">
        <v>28</v>
      </c>
      <c r="J19" s="1" t="s">
        <v>29</v>
      </c>
      <c r="K19" s="1" t="s">
        <v>29</v>
      </c>
      <c r="L19" s="1">
        <v>68</v>
      </c>
      <c r="M19" s="1"/>
      <c r="N19" s="1" t="s">
        <v>97</v>
      </c>
      <c r="O19" s="1" t="s">
        <v>32</v>
      </c>
      <c r="P19" s="1" t="s">
        <v>33</v>
      </c>
      <c r="Q19" s="2">
        <v>45814.611805555556</v>
      </c>
      <c r="R19" s="1" t="str">
        <f t="shared" si="0"/>
        <v>June</v>
      </c>
      <c r="S19" s="1">
        <v>1</v>
      </c>
      <c r="T19" s="1">
        <v>1</v>
      </c>
      <c r="U19" s="6" t="s">
        <v>29</v>
      </c>
    </row>
    <row r="20" spans="1:21" x14ac:dyDescent="0.3">
      <c r="A20" s="5" t="s">
        <v>98</v>
      </c>
      <c r="B20" s="1" t="s">
        <v>36</v>
      </c>
      <c r="C20" s="1" t="s">
        <v>22</v>
      </c>
      <c r="D20" s="1" t="s">
        <v>37</v>
      </c>
      <c r="E20" s="1" t="s">
        <v>93</v>
      </c>
      <c r="F20" s="1" t="s">
        <v>25</v>
      </c>
      <c r="G20" s="1" t="s">
        <v>99</v>
      </c>
      <c r="H20" s="1" t="s">
        <v>27</v>
      </c>
      <c r="I20" s="1" t="s">
        <v>28</v>
      </c>
      <c r="J20" s="1" t="s">
        <v>46</v>
      </c>
      <c r="K20" s="1" t="s">
        <v>29</v>
      </c>
      <c r="L20" s="1">
        <v>70</v>
      </c>
      <c r="M20" s="1"/>
      <c r="N20" s="1" t="s">
        <v>97</v>
      </c>
      <c r="O20" s="1" t="s">
        <v>32</v>
      </c>
      <c r="P20" s="1" t="s">
        <v>33</v>
      </c>
      <c r="Q20" s="1" t="s">
        <v>100</v>
      </c>
      <c r="R20" s="1" t="str">
        <f t="shared" si="0"/>
        <v>July</v>
      </c>
      <c r="S20" s="1">
        <v>1</v>
      </c>
      <c r="T20" s="1">
        <v>1</v>
      </c>
      <c r="U20" s="6" t="s">
        <v>29</v>
      </c>
    </row>
    <row r="21" spans="1:21" x14ac:dyDescent="0.3">
      <c r="A21" s="5" t="s">
        <v>101</v>
      </c>
      <c r="B21" s="1" t="s">
        <v>36</v>
      </c>
      <c r="C21" s="1" t="s">
        <v>22</v>
      </c>
      <c r="D21" s="1" t="s">
        <v>43</v>
      </c>
      <c r="E21" s="1" t="s">
        <v>44</v>
      </c>
      <c r="F21" s="1" t="s">
        <v>25</v>
      </c>
      <c r="G21" s="1" t="s">
        <v>102</v>
      </c>
      <c r="H21" s="1" t="s">
        <v>27</v>
      </c>
      <c r="I21" s="1" t="s">
        <v>28</v>
      </c>
      <c r="J21" s="1" t="s">
        <v>29</v>
      </c>
      <c r="K21" s="1" t="s">
        <v>29</v>
      </c>
      <c r="L21" s="1">
        <v>64</v>
      </c>
      <c r="M21" s="1"/>
      <c r="N21" s="1" t="s">
        <v>31</v>
      </c>
      <c r="O21" s="1" t="s">
        <v>32</v>
      </c>
      <c r="P21" s="1" t="s">
        <v>33</v>
      </c>
      <c r="Q21" s="1" t="s">
        <v>103</v>
      </c>
      <c r="R21" s="1" t="str">
        <f t="shared" si="0"/>
        <v>June</v>
      </c>
      <c r="S21" s="1">
        <v>1</v>
      </c>
      <c r="T21" s="1">
        <v>1</v>
      </c>
      <c r="U21" s="6" t="s">
        <v>29</v>
      </c>
    </row>
    <row r="22" spans="1:21" x14ac:dyDescent="0.3">
      <c r="A22" s="5" t="s">
        <v>104</v>
      </c>
      <c r="B22" s="1" t="s">
        <v>36</v>
      </c>
      <c r="C22" s="1" t="s">
        <v>22</v>
      </c>
      <c r="D22" s="1" t="s">
        <v>43</v>
      </c>
      <c r="E22" s="1" t="s">
        <v>105</v>
      </c>
      <c r="F22" s="1" t="s">
        <v>25</v>
      </c>
      <c r="G22" s="1" t="s">
        <v>102</v>
      </c>
      <c r="H22" s="1" t="s">
        <v>27</v>
      </c>
      <c r="I22" s="1" t="s">
        <v>28</v>
      </c>
      <c r="J22" s="1" t="s">
        <v>29</v>
      </c>
      <c r="K22" s="1" t="s">
        <v>29</v>
      </c>
      <c r="L22" s="1">
        <v>96</v>
      </c>
      <c r="M22" s="1"/>
      <c r="N22" s="1" t="s">
        <v>31</v>
      </c>
      <c r="O22" s="1" t="s">
        <v>32</v>
      </c>
      <c r="P22" s="1" t="s">
        <v>33</v>
      </c>
      <c r="Q22" s="1" t="s">
        <v>106</v>
      </c>
      <c r="R22" s="1" t="str">
        <f t="shared" si="0"/>
        <v>August</v>
      </c>
      <c r="S22" s="1">
        <v>1</v>
      </c>
      <c r="T22" s="1">
        <v>1</v>
      </c>
      <c r="U22" s="6" t="s">
        <v>29</v>
      </c>
    </row>
    <row r="23" spans="1:21" x14ac:dyDescent="0.3">
      <c r="A23" s="5" t="s">
        <v>107</v>
      </c>
      <c r="B23" s="1" t="s">
        <v>36</v>
      </c>
      <c r="C23" s="1" t="s">
        <v>22</v>
      </c>
      <c r="D23" s="1" t="s">
        <v>43</v>
      </c>
      <c r="E23" s="1" t="s">
        <v>44</v>
      </c>
      <c r="F23" s="1" t="s">
        <v>25</v>
      </c>
      <c r="G23" s="1" t="s">
        <v>102</v>
      </c>
      <c r="H23" s="1" t="s">
        <v>27</v>
      </c>
      <c r="I23" s="1" t="s">
        <v>28</v>
      </c>
      <c r="J23" s="1" t="s">
        <v>29</v>
      </c>
      <c r="K23" s="1" t="s">
        <v>29</v>
      </c>
      <c r="L23" s="1">
        <v>79</v>
      </c>
      <c r="M23" s="1"/>
      <c r="N23" s="1" t="s">
        <v>82</v>
      </c>
      <c r="O23" s="1" t="s">
        <v>32</v>
      </c>
      <c r="P23" s="1" t="s">
        <v>33</v>
      </c>
      <c r="Q23" s="2">
        <v>45906.836805555555</v>
      </c>
      <c r="R23" s="1" t="str">
        <f t="shared" si="0"/>
        <v>September</v>
      </c>
      <c r="S23" s="1">
        <v>1</v>
      </c>
      <c r="T23" s="1">
        <v>1</v>
      </c>
      <c r="U23" s="6" t="s">
        <v>29</v>
      </c>
    </row>
    <row r="24" spans="1:21" x14ac:dyDescent="0.3">
      <c r="A24" s="5" t="s">
        <v>108</v>
      </c>
      <c r="B24" s="1" t="s">
        <v>36</v>
      </c>
      <c r="C24" s="1" t="s">
        <v>22</v>
      </c>
      <c r="D24" s="1" t="s">
        <v>43</v>
      </c>
      <c r="E24" s="1" t="s">
        <v>109</v>
      </c>
      <c r="F24" s="1" t="s">
        <v>25</v>
      </c>
      <c r="G24" s="1" t="s">
        <v>110</v>
      </c>
      <c r="H24" s="1" t="s">
        <v>68</v>
      </c>
      <c r="I24" s="1" t="s">
        <v>28</v>
      </c>
      <c r="J24" s="1" t="s">
        <v>29</v>
      </c>
      <c r="K24" s="1" t="s">
        <v>29</v>
      </c>
      <c r="L24" s="1">
        <v>80</v>
      </c>
      <c r="M24" s="1"/>
      <c r="N24" s="1" t="s">
        <v>31</v>
      </c>
      <c r="O24" s="1" t="s">
        <v>32</v>
      </c>
      <c r="P24" s="1" t="s">
        <v>33</v>
      </c>
      <c r="Q24" s="1" t="s">
        <v>111</v>
      </c>
      <c r="R24" s="1" t="str">
        <f t="shared" si="0"/>
        <v>August</v>
      </c>
      <c r="S24" s="1">
        <v>1</v>
      </c>
      <c r="T24" s="1">
        <v>1</v>
      </c>
      <c r="U24" s="6" t="s">
        <v>29</v>
      </c>
    </row>
    <row r="25" spans="1:21" x14ac:dyDescent="0.3">
      <c r="A25" s="5" t="s">
        <v>112</v>
      </c>
      <c r="B25" s="1" t="s">
        <v>21</v>
      </c>
      <c r="C25" s="1" t="s">
        <v>22</v>
      </c>
      <c r="D25" s="1" t="s">
        <v>37</v>
      </c>
      <c r="E25" s="1" t="s">
        <v>113</v>
      </c>
      <c r="F25" s="1" t="s">
        <v>25</v>
      </c>
      <c r="G25" s="1" t="s">
        <v>114</v>
      </c>
      <c r="H25" s="1" t="s">
        <v>68</v>
      </c>
      <c r="I25" s="1" t="s">
        <v>28</v>
      </c>
      <c r="J25" s="1" t="s">
        <v>46</v>
      </c>
      <c r="K25" s="1" t="s">
        <v>29</v>
      </c>
      <c r="L25" s="1">
        <v>97</v>
      </c>
      <c r="M25" s="1" t="s">
        <v>30</v>
      </c>
      <c r="N25" s="1" t="s">
        <v>31</v>
      </c>
      <c r="O25" s="1" t="s">
        <v>32</v>
      </c>
      <c r="P25" s="1" t="s">
        <v>33</v>
      </c>
      <c r="Q25" s="2">
        <v>45755.929861111108</v>
      </c>
      <c r="R25" s="1" t="str">
        <f t="shared" si="0"/>
        <v>April</v>
      </c>
      <c r="S25" s="1">
        <v>1</v>
      </c>
      <c r="T25" s="1">
        <v>1</v>
      </c>
      <c r="U25" s="6" t="s">
        <v>29</v>
      </c>
    </row>
    <row r="26" spans="1:21" x14ac:dyDescent="0.3">
      <c r="A26" s="5" t="s">
        <v>115</v>
      </c>
      <c r="B26" s="1" t="s">
        <v>21</v>
      </c>
      <c r="C26" s="1" t="s">
        <v>22</v>
      </c>
      <c r="D26" s="1" t="s">
        <v>43</v>
      </c>
      <c r="E26" s="1" t="s">
        <v>116</v>
      </c>
      <c r="F26" s="1" t="s">
        <v>25</v>
      </c>
      <c r="G26" s="1" t="s">
        <v>114</v>
      </c>
      <c r="H26" s="1" t="s">
        <v>68</v>
      </c>
      <c r="I26" s="1" t="s">
        <v>28</v>
      </c>
      <c r="J26" s="1" t="s">
        <v>46</v>
      </c>
      <c r="K26" s="1" t="s">
        <v>29</v>
      </c>
      <c r="L26" s="1">
        <v>53</v>
      </c>
      <c r="M26" s="1" t="s">
        <v>30</v>
      </c>
      <c r="N26" s="1" t="s">
        <v>117</v>
      </c>
      <c r="O26" s="1" t="s">
        <v>32</v>
      </c>
      <c r="P26" s="1" t="s">
        <v>33</v>
      </c>
      <c r="Q26" s="2">
        <v>45969.39166666667</v>
      </c>
      <c r="R26" s="1" t="str">
        <f t="shared" si="0"/>
        <v>November</v>
      </c>
      <c r="S26" s="1">
        <v>1</v>
      </c>
      <c r="T26" s="1">
        <v>1</v>
      </c>
      <c r="U26" s="6" t="s">
        <v>29</v>
      </c>
    </row>
    <row r="27" spans="1:21" x14ac:dyDescent="0.3">
      <c r="A27" s="5" t="s">
        <v>118</v>
      </c>
      <c r="B27" s="1" t="s">
        <v>36</v>
      </c>
      <c r="C27" s="1" t="s">
        <v>22</v>
      </c>
      <c r="D27" s="1" t="s">
        <v>43</v>
      </c>
      <c r="E27" s="1" t="s">
        <v>44</v>
      </c>
      <c r="F27" s="1" t="s">
        <v>25</v>
      </c>
      <c r="G27" s="1" t="s">
        <v>114</v>
      </c>
      <c r="H27" s="1" t="s">
        <v>27</v>
      </c>
      <c r="I27" s="1" t="s">
        <v>28</v>
      </c>
      <c r="J27" s="1" t="s">
        <v>46</v>
      </c>
      <c r="K27" s="1" t="s">
        <v>29</v>
      </c>
      <c r="L27" s="1">
        <v>70</v>
      </c>
      <c r="M27" s="1"/>
      <c r="N27" s="1" t="s">
        <v>31</v>
      </c>
      <c r="O27" s="1" t="s">
        <v>32</v>
      </c>
      <c r="P27" s="1" t="s">
        <v>33</v>
      </c>
      <c r="Q27" s="1" t="s">
        <v>119</v>
      </c>
      <c r="R27" s="1" t="str">
        <f t="shared" si="0"/>
        <v>June</v>
      </c>
      <c r="S27" s="1">
        <v>1</v>
      </c>
      <c r="T27" s="1">
        <v>1</v>
      </c>
      <c r="U27" s="6" t="s">
        <v>29</v>
      </c>
    </row>
    <row r="28" spans="1:21" x14ac:dyDescent="0.3">
      <c r="A28" s="5" t="s">
        <v>120</v>
      </c>
      <c r="B28" s="1" t="s">
        <v>36</v>
      </c>
      <c r="C28" s="1" t="s">
        <v>22</v>
      </c>
      <c r="D28" s="1" t="s">
        <v>43</v>
      </c>
      <c r="E28" s="1" t="s">
        <v>44</v>
      </c>
      <c r="F28" s="1" t="s">
        <v>25</v>
      </c>
      <c r="G28" s="1" t="s">
        <v>114</v>
      </c>
      <c r="H28" s="1" t="s">
        <v>27</v>
      </c>
      <c r="I28" s="1" t="s">
        <v>28</v>
      </c>
      <c r="J28" s="1" t="s">
        <v>29</v>
      </c>
      <c r="K28" s="1" t="s">
        <v>29</v>
      </c>
      <c r="L28" s="1">
        <v>84</v>
      </c>
      <c r="M28" s="1"/>
      <c r="N28" s="1" t="s">
        <v>31</v>
      </c>
      <c r="O28" s="1" t="s">
        <v>32</v>
      </c>
      <c r="P28" s="1" t="s">
        <v>33</v>
      </c>
      <c r="Q28" s="2">
        <v>45845.8</v>
      </c>
      <c r="R28" s="1" t="str">
        <f t="shared" si="0"/>
        <v>July</v>
      </c>
      <c r="S28" s="1">
        <v>1</v>
      </c>
      <c r="T28" s="1">
        <v>1</v>
      </c>
      <c r="U28" s="6" t="s">
        <v>29</v>
      </c>
    </row>
    <row r="29" spans="1:21" x14ac:dyDescent="0.3">
      <c r="A29" s="5" t="s">
        <v>121</v>
      </c>
      <c r="B29" s="1" t="s">
        <v>36</v>
      </c>
      <c r="C29" s="1" t="s">
        <v>22</v>
      </c>
      <c r="D29" s="1" t="s">
        <v>43</v>
      </c>
      <c r="E29" s="1" t="s">
        <v>44</v>
      </c>
      <c r="F29" s="1" t="s">
        <v>25</v>
      </c>
      <c r="G29" s="1" t="s">
        <v>114</v>
      </c>
      <c r="H29" s="1" t="s">
        <v>68</v>
      </c>
      <c r="I29" s="1" t="s">
        <v>28</v>
      </c>
      <c r="J29" s="1" t="s">
        <v>46</v>
      </c>
      <c r="K29" s="1" t="s">
        <v>29</v>
      </c>
      <c r="L29" s="1">
        <v>68</v>
      </c>
      <c r="M29" s="1"/>
      <c r="N29" s="1" t="s">
        <v>47</v>
      </c>
      <c r="O29" s="1" t="s">
        <v>32</v>
      </c>
      <c r="P29" s="1" t="s">
        <v>33</v>
      </c>
      <c r="Q29" s="1" t="s">
        <v>122</v>
      </c>
      <c r="R29" s="1" t="str">
        <f t="shared" si="0"/>
        <v>June</v>
      </c>
      <c r="S29" s="1">
        <v>2</v>
      </c>
      <c r="T29" s="1">
        <v>2</v>
      </c>
      <c r="U29" s="6" t="s">
        <v>29</v>
      </c>
    </row>
    <row r="30" spans="1:21" x14ac:dyDescent="0.3">
      <c r="A30" s="5" t="s">
        <v>123</v>
      </c>
      <c r="B30" s="1" t="s">
        <v>36</v>
      </c>
      <c r="C30" s="1" t="s">
        <v>22</v>
      </c>
      <c r="D30" s="1" t="s">
        <v>43</v>
      </c>
      <c r="E30" s="1" t="s">
        <v>44</v>
      </c>
      <c r="F30" s="1" t="s">
        <v>25</v>
      </c>
      <c r="G30" s="1" t="s">
        <v>124</v>
      </c>
      <c r="H30" s="1" t="s">
        <v>27</v>
      </c>
      <c r="I30" s="1" t="s">
        <v>28</v>
      </c>
      <c r="J30" s="1" t="s">
        <v>46</v>
      </c>
      <c r="K30" s="1" t="s">
        <v>29</v>
      </c>
      <c r="L30" s="1">
        <v>92</v>
      </c>
      <c r="M30" s="1"/>
      <c r="N30" s="1" t="s">
        <v>47</v>
      </c>
      <c r="O30" s="1" t="s">
        <v>32</v>
      </c>
      <c r="P30" s="1" t="s">
        <v>33</v>
      </c>
      <c r="Q30" s="2">
        <v>45844.730555555558</v>
      </c>
      <c r="R30" s="1" t="str">
        <f t="shared" si="0"/>
        <v>July</v>
      </c>
      <c r="S30" s="1">
        <v>1</v>
      </c>
      <c r="T30" s="1">
        <v>1</v>
      </c>
      <c r="U30" s="6" t="s">
        <v>29</v>
      </c>
    </row>
    <row r="31" spans="1:21" x14ac:dyDescent="0.3">
      <c r="A31" s="5" t="s">
        <v>125</v>
      </c>
      <c r="B31" s="1" t="s">
        <v>21</v>
      </c>
      <c r="C31" s="1" t="s">
        <v>22</v>
      </c>
      <c r="D31" s="1" t="s">
        <v>43</v>
      </c>
      <c r="E31" s="1" t="s">
        <v>126</v>
      </c>
      <c r="F31" s="1" t="s">
        <v>25</v>
      </c>
      <c r="G31" s="1" t="s">
        <v>127</v>
      </c>
      <c r="H31" s="1" t="s">
        <v>68</v>
      </c>
      <c r="I31" s="1" t="s">
        <v>28</v>
      </c>
      <c r="J31" s="1" t="s">
        <v>46</v>
      </c>
      <c r="K31" s="1" t="s">
        <v>29</v>
      </c>
      <c r="L31" s="1">
        <v>56</v>
      </c>
      <c r="M31" s="1" t="s">
        <v>30</v>
      </c>
      <c r="N31" s="1" t="s">
        <v>128</v>
      </c>
      <c r="O31" s="1" t="s">
        <v>32</v>
      </c>
      <c r="P31" s="1" t="s">
        <v>33</v>
      </c>
      <c r="Q31" s="2">
        <v>45967.658333333333</v>
      </c>
      <c r="R31" s="1" t="str">
        <f t="shared" si="0"/>
        <v>November</v>
      </c>
      <c r="S31" s="1">
        <v>2</v>
      </c>
      <c r="T31" s="1">
        <v>1</v>
      </c>
      <c r="U31" s="6" t="s">
        <v>29</v>
      </c>
    </row>
    <row r="32" spans="1:21" x14ac:dyDescent="0.3">
      <c r="A32" s="5" t="s">
        <v>129</v>
      </c>
      <c r="B32" s="1" t="s">
        <v>21</v>
      </c>
      <c r="C32" s="1" t="s">
        <v>22</v>
      </c>
      <c r="D32" s="1" t="s">
        <v>37</v>
      </c>
      <c r="E32" s="1" t="s">
        <v>113</v>
      </c>
      <c r="F32" s="1" t="s">
        <v>25</v>
      </c>
      <c r="G32" s="1" t="s">
        <v>130</v>
      </c>
      <c r="H32" s="1" t="s">
        <v>27</v>
      </c>
      <c r="I32" s="1" t="s">
        <v>28</v>
      </c>
      <c r="J32" s="1" t="s">
        <v>29</v>
      </c>
      <c r="K32" s="1" t="s">
        <v>29</v>
      </c>
      <c r="L32" s="1">
        <v>66</v>
      </c>
      <c r="M32" s="1" t="s">
        <v>30</v>
      </c>
      <c r="N32" s="1" t="s">
        <v>47</v>
      </c>
      <c r="O32" s="1" t="s">
        <v>32</v>
      </c>
      <c r="P32" s="1" t="s">
        <v>33</v>
      </c>
      <c r="Q32" s="1" t="s">
        <v>131</v>
      </c>
      <c r="R32" s="1" t="str">
        <f t="shared" si="0"/>
        <v>August</v>
      </c>
      <c r="S32" s="1">
        <v>1</v>
      </c>
      <c r="T32" s="1">
        <v>1</v>
      </c>
      <c r="U32" s="6" t="s">
        <v>29</v>
      </c>
    </row>
    <row r="33" spans="1:21" x14ac:dyDescent="0.3">
      <c r="A33" s="5" t="s">
        <v>132</v>
      </c>
      <c r="B33" s="1" t="s">
        <v>21</v>
      </c>
      <c r="C33" s="1" t="s">
        <v>22</v>
      </c>
      <c r="D33" s="1" t="s">
        <v>43</v>
      </c>
      <c r="E33" s="1" t="s">
        <v>133</v>
      </c>
      <c r="F33" s="1" t="s">
        <v>25</v>
      </c>
      <c r="G33" s="1" t="s">
        <v>134</v>
      </c>
      <c r="H33" s="1" t="s">
        <v>68</v>
      </c>
      <c r="I33" s="1" t="s">
        <v>28</v>
      </c>
      <c r="J33" s="1" t="s">
        <v>46</v>
      </c>
      <c r="K33" s="1" t="s">
        <v>29</v>
      </c>
      <c r="L33" s="1">
        <v>38</v>
      </c>
      <c r="M33" s="1" t="s">
        <v>30</v>
      </c>
      <c r="N33" s="1" t="s">
        <v>31</v>
      </c>
      <c r="O33" s="1" t="s">
        <v>32</v>
      </c>
      <c r="P33" s="1" t="s">
        <v>33</v>
      </c>
      <c r="Q33" s="1" t="s">
        <v>135</v>
      </c>
      <c r="R33" s="1" t="str">
        <f t="shared" si="0"/>
        <v>May</v>
      </c>
      <c r="S33" s="1">
        <v>1</v>
      </c>
      <c r="T33" s="1">
        <v>1</v>
      </c>
      <c r="U33" s="6" t="s">
        <v>29</v>
      </c>
    </row>
    <row r="34" spans="1:21" x14ac:dyDescent="0.3">
      <c r="A34" s="5" t="s">
        <v>136</v>
      </c>
      <c r="B34" s="1" t="s">
        <v>21</v>
      </c>
      <c r="C34" s="1" t="s">
        <v>22</v>
      </c>
      <c r="D34" s="1" t="s">
        <v>137</v>
      </c>
      <c r="E34" s="1" t="s">
        <v>138</v>
      </c>
      <c r="F34" s="1" t="s">
        <v>25</v>
      </c>
      <c r="G34" s="1" t="s">
        <v>134</v>
      </c>
      <c r="H34" s="1" t="s">
        <v>68</v>
      </c>
      <c r="I34" s="1" t="s">
        <v>28</v>
      </c>
      <c r="J34" s="1" t="s">
        <v>46</v>
      </c>
      <c r="K34" s="1" t="s">
        <v>29</v>
      </c>
      <c r="L34" s="1">
        <v>82</v>
      </c>
      <c r="M34" s="1" t="s">
        <v>30</v>
      </c>
      <c r="N34" s="1" t="s">
        <v>139</v>
      </c>
      <c r="O34" s="1" t="s">
        <v>32</v>
      </c>
      <c r="P34" s="1" t="s">
        <v>33</v>
      </c>
      <c r="Q34" s="1" t="s">
        <v>140</v>
      </c>
      <c r="R34" s="1" t="str">
        <f t="shared" si="0"/>
        <v>May</v>
      </c>
      <c r="S34" s="1">
        <v>1</v>
      </c>
      <c r="T34" s="1">
        <v>1</v>
      </c>
      <c r="U34" s="6" t="s">
        <v>29</v>
      </c>
    </row>
    <row r="35" spans="1:21" x14ac:dyDescent="0.3">
      <c r="A35" s="5" t="s">
        <v>141</v>
      </c>
      <c r="B35" s="1" t="s">
        <v>21</v>
      </c>
      <c r="C35" s="1" t="s">
        <v>22</v>
      </c>
      <c r="D35" s="1" t="s">
        <v>142</v>
      </c>
      <c r="E35" s="1" t="s">
        <v>143</v>
      </c>
      <c r="F35" s="1" t="s">
        <v>25</v>
      </c>
      <c r="G35" s="1" t="s">
        <v>134</v>
      </c>
      <c r="H35" s="1" t="s">
        <v>27</v>
      </c>
      <c r="I35" s="1" t="s">
        <v>28</v>
      </c>
      <c r="J35" s="1" t="s">
        <v>46</v>
      </c>
      <c r="K35" s="1" t="s">
        <v>29</v>
      </c>
      <c r="L35" s="1">
        <v>63</v>
      </c>
      <c r="M35" s="1" t="s">
        <v>30</v>
      </c>
      <c r="N35" s="1" t="s">
        <v>40</v>
      </c>
      <c r="O35" s="1" t="s">
        <v>32</v>
      </c>
      <c r="P35" s="1" t="s">
        <v>33</v>
      </c>
      <c r="Q35" s="1" t="s">
        <v>144</v>
      </c>
      <c r="R35" s="1" t="str">
        <f t="shared" si="0"/>
        <v>July</v>
      </c>
      <c r="S35" s="1">
        <v>1</v>
      </c>
      <c r="T35" s="1">
        <v>1</v>
      </c>
      <c r="U35" s="6" t="s">
        <v>29</v>
      </c>
    </row>
    <row r="36" spans="1:21" x14ac:dyDescent="0.3">
      <c r="A36" s="5" t="s">
        <v>145</v>
      </c>
      <c r="B36" s="1" t="s">
        <v>21</v>
      </c>
      <c r="C36" s="1" t="s">
        <v>22</v>
      </c>
      <c r="D36" s="1" t="s">
        <v>37</v>
      </c>
      <c r="E36" s="1" t="s">
        <v>146</v>
      </c>
      <c r="F36" s="1" t="s">
        <v>25</v>
      </c>
      <c r="G36" s="1" t="s">
        <v>147</v>
      </c>
      <c r="H36" s="1" t="s">
        <v>27</v>
      </c>
      <c r="I36" s="1" t="s">
        <v>28</v>
      </c>
      <c r="J36" s="1" t="s">
        <v>46</v>
      </c>
      <c r="K36" s="1" t="s">
        <v>29</v>
      </c>
      <c r="L36" s="1">
        <v>80</v>
      </c>
      <c r="M36" s="1" t="s">
        <v>30</v>
      </c>
      <c r="N36" s="1" t="s">
        <v>31</v>
      </c>
      <c r="O36" s="1" t="s">
        <v>32</v>
      </c>
      <c r="P36" s="1" t="s">
        <v>33</v>
      </c>
      <c r="Q36" s="1" t="s">
        <v>148</v>
      </c>
      <c r="R36" s="1" t="str">
        <f t="shared" si="0"/>
        <v>May</v>
      </c>
      <c r="S36" s="1">
        <v>1</v>
      </c>
      <c r="T36" s="1">
        <v>1</v>
      </c>
      <c r="U36" s="6" t="s">
        <v>29</v>
      </c>
    </row>
    <row r="37" spans="1:21" x14ac:dyDescent="0.3">
      <c r="A37" s="5" t="s">
        <v>149</v>
      </c>
      <c r="B37" s="1" t="s">
        <v>21</v>
      </c>
      <c r="C37" s="1" t="s">
        <v>22</v>
      </c>
      <c r="D37" s="1" t="s">
        <v>37</v>
      </c>
      <c r="E37" s="1" t="s">
        <v>38</v>
      </c>
      <c r="F37" s="1" t="s">
        <v>25</v>
      </c>
      <c r="G37" s="1" t="s">
        <v>147</v>
      </c>
      <c r="H37" s="1" t="s">
        <v>27</v>
      </c>
      <c r="I37" s="1" t="s">
        <v>28</v>
      </c>
      <c r="J37" s="1" t="s">
        <v>29</v>
      </c>
      <c r="K37" s="1" t="s">
        <v>29</v>
      </c>
      <c r="L37" s="1">
        <v>89</v>
      </c>
      <c r="M37" s="1" t="s">
        <v>30</v>
      </c>
      <c r="N37" s="1" t="s">
        <v>31</v>
      </c>
      <c r="O37" s="1" t="s">
        <v>32</v>
      </c>
      <c r="P37" s="1" t="s">
        <v>33</v>
      </c>
      <c r="Q37" s="1" t="s">
        <v>150</v>
      </c>
      <c r="R37" s="1" t="str">
        <f t="shared" si="0"/>
        <v>July</v>
      </c>
      <c r="S37" s="1">
        <v>1</v>
      </c>
      <c r="T37" s="1">
        <v>1</v>
      </c>
      <c r="U37" s="6" t="s">
        <v>29</v>
      </c>
    </row>
    <row r="38" spans="1:21" x14ac:dyDescent="0.3">
      <c r="A38" s="5" t="s">
        <v>151</v>
      </c>
      <c r="B38" s="1" t="s">
        <v>36</v>
      </c>
      <c r="C38" s="1" t="s">
        <v>22</v>
      </c>
      <c r="D38" s="1" t="s">
        <v>37</v>
      </c>
      <c r="E38" s="1" t="s">
        <v>152</v>
      </c>
      <c r="F38" s="1" t="s">
        <v>25</v>
      </c>
      <c r="G38" s="4">
        <v>45996</v>
      </c>
      <c r="H38" s="1" t="s">
        <v>27</v>
      </c>
      <c r="I38" s="1" t="s">
        <v>28</v>
      </c>
      <c r="J38" s="1" t="s">
        <v>46</v>
      </c>
      <c r="K38" s="1" t="s">
        <v>29</v>
      </c>
      <c r="L38" s="1">
        <v>68</v>
      </c>
      <c r="M38" s="1"/>
      <c r="N38" s="1" t="s">
        <v>31</v>
      </c>
      <c r="O38" s="1" t="s">
        <v>32</v>
      </c>
      <c r="P38" s="1" t="s">
        <v>33</v>
      </c>
      <c r="Q38" s="2">
        <v>45783.814583333333</v>
      </c>
      <c r="R38" s="1" t="str">
        <f t="shared" si="0"/>
        <v>May</v>
      </c>
      <c r="S38" s="1">
        <v>1</v>
      </c>
      <c r="T38" s="1">
        <v>1</v>
      </c>
      <c r="U38" s="6" t="s">
        <v>29</v>
      </c>
    </row>
    <row r="39" spans="1:21" x14ac:dyDescent="0.3">
      <c r="A39" s="5" t="s">
        <v>153</v>
      </c>
      <c r="B39" s="1" t="s">
        <v>21</v>
      </c>
      <c r="C39" s="1" t="s">
        <v>22</v>
      </c>
      <c r="D39" s="1" t="s">
        <v>80</v>
      </c>
      <c r="E39" s="1" t="s">
        <v>81</v>
      </c>
      <c r="F39" s="1" t="s">
        <v>25</v>
      </c>
      <c r="G39" s="4">
        <v>45782</v>
      </c>
      <c r="H39" s="1" t="s">
        <v>27</v>
      </c>
      <c r="I39" s="1" t="s">
        <v>28</v>
      </c>
      <c r="J39" s="1" t="s">
        <v>29</v>
      </c>
      <c r="K39" s="1" t="s">
        <v>29</v>
      </c>
      <c r="L39" s="1">
        <v>125</v>
      </c>
      <c r="M39" s="1" t="s">
        <v>30</v>
      </c>
      <c r="N39" s="1" t="s">
        <v>31</v>
      </c>
      <c r="O39" s="1" t="s">
        <v>32</v>
      </c>
      <c r="P39" s="1" t="s">
        <v>33</v>
      </c>
      <c r="Q39" s="2">
        <v>45937.709027777775</v>
      </c>
      <c r="R39" s="1" t="str">
        <f t="shared" si="0"/>
        <v>October</v>
      </c>
      <c r="S39" s="1">
        <v>1</v>
      </c>
      <c r="T39" s="1">
        <v>1</v>
      </c>
      <c r="U39" s="6" t="s">
        <v>29</v>
      </c>
    </row>
    <row r="40" spans="1:21" x14ac:dyDescent="0.3">
      <c r="A40" s="5" t="s">
        <v>154</v>
      </c>
      <c r="B40" s="1" t="s">
        <v>36</v>
      </c>
      <c r="C40" s="1" t="s">
        <v>22</v>
      </c>
      <c r="D40" s="1" t="s">
        <v>37</v>
      </c>
      <c r="E40" s="1" t="s">
        <v>38</v>
      </c>
      <c r="F40" s="1" t="s">
        <v>25</v>
      </c>
      <c r="G40" s="4">
        <v>45752</v>
      </c>
      <c r="H40" s="1" t="s">
        <v>27</v>
      </c>
      <c r="I40" s="1" t="s">
        <v>28</v>
      </c>
      <c r="J40" s="1" t="s">
        <v>46</v>
      </c>
      <c r="K40" s="1" t="s">
        <v>29</v>
      </c>
      <c r="L40" s="1">
        <v>67</v>
      </c>
      <c r="M40" s="1"/>
      <c r="N40" s="1" t="s">
        <v>31</v>
      </c>
      <c r="O40" s="1" t="s">
        <v>32</v>
      </c>
      <c r="P40" s="1" t="s">
        <v>33</v>
      </c>
      <c r="Q40" s="1" t="s">
        <v>155</v>
      </c>
      <c r="R40" s="1" t="str">
        <f t="shared" si="0"/>
        <v>May</v>
      </c>
      <c r="S40" s="1">
        <v>1</v>
      </c>
      <c r="T40" s="1">
        <v>1</v>
      </c>
      <c r="U40" s="6" t="s">
        <v>29</v>
      </c>
    </row>
    <row r="41" spans="1:21" x14ac:dyDescent="0.3">
      <c r="A41" s="5" t="s">
        <v>156</v>
      </c>
      <c r="B41" s="1" t="s">
        <v>36</v>
      </c>
      <c r="C41" s="1" t="s">
        <v>22</v>
      </c>
      <c r="D41" s="1" t="s">
        <v>43</v>
      </c>
      <c r="E41" s="1" t="s">
        <v>44</v>
      </c>
      <c r="F41" s="1" t="s">
        <v>25</v>
      </c>
      <c r="G41" s="4">
        <v>45752</v>
      </c>
      <c r="H41" s="1" t="s">
        <v>27</v>
      </c>
      <c r="I41" s="1" t="s">
        <v>28</v>
      </c>
      <c r="J41" s="1" t="s">
        <v>46</v>
      </c>
      <c r="K41" s="1" t="s">
        <v>29</v>
      </c>
      <c r="L41" s="1">
        <v>108</v>
      </c>
      <c r="M41" s="1"/>
      <c r="N41" s="1" t="s">
        <v>157</v>
      </c>
      <c r="O41" s="1" t="s">
        <v>32</v>
      </c>
      <c r="P41" s="1" t="s">
        <v>33</v>
      </c>
      <c r="Q41" s="1" t="s">
        <v>158</v>
      </c>
      <c r="R41" s="1" t="str">
        <f t="shared" si="0"/>
        <v>May</v>
      </c>
      <c r="S41" s="1">
        <v>1</v>
      </c>
      <c r="T41" s="1">
        <v>1</v>
      </c>
      <c r="U41" s="6" t="s">
        <v>29</v>
      </c>
    </row>
    <row r="42" spans="1:21" x14ac:dyDescent="0.3">
      <c r="A42" s="5" t="s">
        <v>159</v>
      </c>
      <c r="B42" s="1" t="s">
        <v>36</v>
      </c>
      <c r="C42" s="1" t="s">
        <v>22</v>
      </c>
      <c r="D42" s="1" t="s">
        <v>37</v>
      </c>
      <c r="E42" s="1" t="s">
        <v>38</v>
      </c>
      <c r="F42" s="1" t="s">
        <v>25</v>
      </c>
      <c r="G42" s="4">
        <v>45721</v>
      </c>
      <c r="H42" s="1" t="s">
        <v>68</v>
      </c>
      <c r="I42" s="1" t="s">
        <v>28</v>
      </c>
      <c r="J42" s="1" t="s">
        <v>29</v>
      </c>
      <c r="K42" s="1" t="s">
        <v>29</v>
      </c>
      <c r="L42" s="1">
        <v>136</v>
      </c>
      <c r="M42" s="1"/>
      <c r="N42" s="1" t="s">
        <v>160</v>
      </c>
      <c r="O42" s="1" t="s">
        <v>32</v>
      </c>
      <c r="P42" s="1" t="s">
        <v>33</v>
      </c>
      <c r="Q42" s="2">
        <v>45877.905555555553</v>
      </c>
      <c r="R42" s="1" t="str">
        <f t="shared" si="0"/>
        <v>August</v>
      </c>
      <c r="S42" s="1">
        <v>1</v>
      </c>
      <c r="T42" s="1">
        <v>1</v>
      </c>
      <c r="U42" s="6" t="s">
        <v>29</v>
      </c>
    </row>
    <row r="43" spans="1:21" x14ac:dyDescent="0.3">
      <c r="A43" s="5" t="s">
        <v>161</v>
      </c>
      <c r="B43" s="1" t="s">
        <v>21</v>
      </c>
      <c r="C43" s="1" t="s">
        <v>22</v>
      </c>
      <c r="D43" s="1" t="s">
        <v>43</v>
      </c>
      <c r="E43" s="1" t="s">
        <v>44</v>
      </c>
      <c r="F43" s="1" t="s">
        <v>25</v>
      </c>
      <c r="G43" s="1" t="s">
        <v>162</v>
      </c>
      <c r="H43" s="1" t="s">
        <v>27</v>
      </c>
      <c r="I43" s="1" t="s">
        <v>28</v>
      </c>
      <c r="J43" s="1" t="s">
        <v>29</v>
      </c>
      <c r="K43" s="1" t="s">
        <v>29</v>
      </c>
      <c r="L43" s="1">
        <v>117</v>
      </c>
      <c r="M43" s="1" t="s">
        <v>30</v>
      </c>
      <c r="N43" s="1" t="s">
        <v>163</v>
      </c>
      <c r="O43" s="1" t="s">
        <v>32</v>
      </c>
      <c r="P43" s="1" t="s">
        <v>33</v>
      </c>
      <c r="Q43" s="2">
        <v>45876.794444444444</v>
      </c>
      <c r="R43" s="1" t="str">
        <f t="shared" si="0"/>
        <v>August</v>
      </c>
      <c r="S43" s="1">
        <v>1</v>
      </c>
      <c r="T43" s="1">
        <v>1</v>
      </c>
      <c r="U43" s="6" t="s">
        <v>29</v>
      </c>
    </row>
    <row r="44" spans="1:21" x14ac:dyDescent="0.3">
      <c r="A44" s="5" t="s">
        <v>164</v>
      </c>
      <c r="B44" s="1" t="s">
        <v>21</v>
      </c>
      <c r="C44" s="1" t="s">
        <v>22</v>
      </c>
      <c r="D44" s="1" t="s">
        <v>37</v>
      </c>
      <c r="E44" s="1" t="s">
        <v>93</v>
      </c>
      <c r="F44" s="1" t="s">
        <v>25</v>
      </c>
      <c r="G44" s="1" t="s">
        <v>165</v>
      </c>
      <c r="H44" s="1" t="s">
        <v>27</v>
      </c>
      <c r="I44" s="1" t="s">
        <v>28</v>
      </c>
      <c r="J44" s="1" t="s">
        <v>29</v>
      </c>
      <c r="K44" s="1" t="s">
        <v>29</v>
      </c>
      <c r="L44" s="1">
        <v>135</v>
      </c>
      <c r="M44" s="1" t="s">
        <v>30</v>
      </c>
      <c r="N44" s="1" t="s">
        <v>166</v>
      </c>
      <c r="O44" s="1" t="s">
        <v>32</v>
      </c>
      <c r="P44" s="1" t="s">
        <v>33</v>
      </c>
      <c r="Q44" s="1" t="s">
        <v>167</v>
      </c>
      <c r="R44" s="1" t="str">
        <f t="shared" si="0"/>
        <v>June</v>
      </c>
      <c r="S44" s="1">
        <v>1</v>
      </c>
      <c r="T44" s="1">
        <v>1</v>
      </c>
      <c r="U44" s="6" t="s">
        <v>29</v>
      </c>
    </row>
    <row r="45" spans="1:21" x14ac:dyDescent="0.3">
      <c r="A45" s="5" t="s">
        <v>168</v>
      </c>
      <c r="B45" s="1" t="s">
        <v>21</v>
      </c>
      <c r="C45" s="1" t="s">
        <v>22</v>
      </c>
      <c r="D45" s="1" t="s">
        <v>43</v>
      </c>
      <c r="E45" s="1" t="s">
        <v>169</v>
      </c>
      <c r="F45" s="1" t="s">
        <v>25</v>
      </c>
      <c r="G45" s="1" t="s">
        <v>170</v>
      </c>
      <c r="H45" s="1" t="s">
        <v>27</v>
      </c>
      <c r="I45" s="1" t="s">
        <v>28</v>
      </c>
      <c r="J45" s="1" t="s">
        <v>46</v>
      </c>
      <c r="K45" s="1" t="s">
        <v>29</v>
      </c>
      <c r="L45" s="1">
        <v>83</v>
      </c>
      <c r="M45" s="1" t="s">
        <v>90</v>
      </c>
      <c r="N45" s="1" t="s">
        <v>40</v>
      </c>
      <c r="O45" s="1" t="s">
        <v>32</v>
      </c>
      <c r="P45" s="1" t="s">
        <v>33</v>
      </c>
      <c r="Q45" s="2">
        <v>45877.606249999997</v>
      </c>
      <c r="R45" s="1" t="str">
        <f t="shared" si="0"/>
        <v>August</v>
      </c>
      <c r="S45" s="1">
        <v>1</v>
      </c>
      <c r="T45" s="1">
        <v>1</v>
      </c>
      <c r="U45" s="6" t="s">
        <v>29</v>
      </c>
    </row>
    <row r="46" spans="1:21" x14ac:dyDescent="0.3">
      <c r="A46" s="5" t="s">
        <v>171</v>
      </c>
      <c r="B46" s="1" t="s">
        <v>21</v>
      </c>
      <c r="C46" s="1" t="s">
        <v>22</v>
      </c>
      <c r="D46" s="1" t="s">
        <v>23</v>
      </c>
      <c r="E46" s="1" t="s">
        <v>172</v>
      </c>
      <c r="F46" s="1" t="s">
        <v>25</v>
      </c>
      <c r="G46" s="1" t="s">
        <v>173</v>
      </c>
      <c r="H46" s="1" t="s">
        <v>68</v>
      </c>
      <c r="I46" s="1" t="s">
        <v>28</v>
      </c>
      <c r="J46" s="1" t="s">
        <v>29</v>
      </c>
      <c r="K46" s="1" t="s">
        <v>29</v>
      </c>
      <c r="L46" s="1">
        <v>125</v>
      </c>
      <c r="M46" s="1" t="s">
        <v>30</v>
      </c>
      <c r="N46" s="1" t="s">
        <v>31</v>
      </c>
      <c r="O46" s="1" t="s">
        <v>32</v>
      </c>
      <c r="P46" s="1" t="s">
        <v>33</v>
      </c>
      <c r="Q46" s="2">
        <v>45968.750694444447</v>
      </c>
      <c r="R46" s="1" t="str">
        <f t="shared" si="0"/>
        <v>November</v>
      </c>
      <c r="S46" s="1">
        <v>3</v>
      </c>
      <c r="T46" s="1">
        <v>1</v>
      </c>
      <c r="U46" s="6" t="s">
        <v>29</v>
      </c>
    </row>
    <row r="47" spans="1:21" x14ac:dyDescent="0.3">
      <c r="A47" s="5" t="s">
        <v>174</v>
      </c>
      <c r="B47" s="1" t="s">
        <v>21</v>
      </c>
      <c r="C47" s="1" t="s">
        <v>22</v>
      </c>
      <c r="D47" s="1" t="s">
        <v>175</v>
      </c>
      <c r="E47" s="1" t="s">
        <v>176</v>
      </c>
      <c r="F47" s="1" t="s">
        <v>25</v>
      </c>
      <c r="G47" s="1" t="s">
        <v>177</v>
      </c>
      <c r="H47" s="1" t="s">
        <v>27</v>
      </c>
      <c r="I47" s="1" t="s">
        <v>28</v>
      </c>
      <c r="J47" s="1" t="s">
        <v>29</v>
      </c>
      <c r="K47" s="1" t="s">
        <v>29</v>
      </c>
      <c r="L47" s="1">
        <v>93</v>
      </c>
      <c r="M47" s="1" t="s">
        <v>30</v>
      </c>
      <c r="N47" s="1" t="s">
        <v>31</v>
      </c>
      <c r="O47" s="1" t="s">
        <v>32</v>
      </c>
      <c r="P47" s="1" t="s">
        <v>33</v>
      </c>
      <c r="Q47" s="1" t="s">
        <v>178</v>
      </c>
      <c r="R47" s="1" t="str">
        <f t="shared" si="0"/>
        <v>June</v>
      </c>
      <c r="S47" s="1">
        <v>1</v>
      </c>
      <c r="T47" s="1">
        <v>1</v>
      </c>
      <c r="U47" s="6" t="s">
        <v>29</v>
      </c>
    </row>
    <row r="48" spans="1:21" x14ac:dyDescent="0.3">
      <c r="A48" s="5" t="s">
        <v>179</v>
      </c>
      <c r="B48" s="1" t="s">
        <v>21</v>
      </c>
      <c r="C48" s="1" t="s">
        <v>22</v>
      </c>
      <c r="D48" s="1" t="s">
        <v>23</v>
      </c>
      <c r="E48" s="1" t="s">
        <v>180</v>
      </c>
      <c r="F48" s="1" t="s">
        <v>25</v>
      </c>
      <c r="G48" s="1" t="s">
        <v>181</v>
      </c>
      <c r="H48" s="1" t="s">
        <v>68</v>
      </c>
      <c r="I48" s="1" t="s">
        <v>28</v>
      </c>
      <c r="J48" s="1" t="s">
        <v>46</v>
      </c>
      <c r="K48" s="1" t="s">
        <v>29</v>
      </c>
      <c r="L48" s="1">
        <v>36</v>
      </c>
      <c r="M48" s="1" t="s">
        <v>30</v>
      </c>
      <c r="N48" s="1" t="s">
        <v>31</v>
      </c>
      <c r="O48" s="1" t="s">
        <v>32</v>
      </c>
      <c r="P48" s="1" t="s">
        <v>33</v>
      </c>
      <c r="Q48" s="1" t="s">
        <v>182</v>
      </c>
      <c r="R48" s="1" t="str">
        <f t="shared" si="0"/>
        <v>April</v>
      </c>
      <c r="S48" s="1">
        <v>1</v>
      </c>
      <c r="T48" s="1">
        <v>1</v>
      </c>
      <c r="U48" s="6" t="s">
        <v>29</v>
      </c>
    </row>
    <row r="49" spans="1:21" x14ac:dyDescent="0.3">
      <c r="A49" s="5" t="s">
        <v>183</v>
      </c>
      <c r="B49" s="1" t="s">
        <v>36</v>
      </c>
      <c r="C49" s="1" t="s">
        <v>22</v>
      </c>
      <c r="D49" s="1" t="s">
        <v>37</v>
      </c>
      <c r="E49" s="1" t="s">
        <v>152</v>
      </c>
      <c r="F49" s="1" t="s">
        <v>25</v>
      </c>
      <c r="G49" s="1" t="s">
        <v>181</v>
      </c>
      <c r="H49" s="1" t="s">
        <v>27</v>
      </c>
      <c r="I49" s="1" t="s">
        <v>28</v>
      </c>
      <c r="J49" s="1" t="s">
        <v>46</v>
      </c>
      <c r="K49" s="1" t="s">
        <v>29</v>
      </c>
      <c r="L49" s="1">
        <v>94</v>
      </c>
      <c r="M49" s="1"/>
      <c r="N49" s="1" t="s">
        <v>184</v>
      </c>
      <c r="O49" s="1" t="s">
        <v>32</v>
      </c>
      <c r="P49" s="1" t="s">
        <v>33</v>
      </c>
      <c r="Q49" s="2">
        <v>45969.576388888891</v>
      </c>
      <c r="R49" s="1" t="str">
        <f t="shared" si="0"/>
        <v>November</v>
      </c>
      <c r="S49" s="1">
        <v>2</v>
      </c>
      <c r="T49" s="1">
        <v>1</v>
      </c>
      <c r="U49" s="6" t="s">
        <v>29</v>
      </c>
    </row>
    <row r="50" spans="1:21" x14ac:dyDescent="0.3">
      <c r="A50" s="5" t="s">
        <v>185</v>
      </c>
      <c r="B50" s="1" t="s">
        <v>36</v>
      </c>
      <c r="C50" s="1" t="s">
        <v>22</v>
      </c>
      <c r="D50" s="1" t="s">
        <v>23</v>
      </c>
      <c r="E50" s="1" t="s">
        <v>24</v>
      </c>
      <c r="F50" s="1" t="s">
        <v>25</v>
      </c>
      <c r="G50" s="1" t="s">
        <v>181</v>
      </c>
      <c r="H50" s="1" t="s">
        <v>27</v>
      </c>
      <c r="I50" s="1" t="s">
        <v>28</v>
      </c>
      <c r="J50" s="1" t="s">
        <v>29</v>
      </c>
      <c r="K50" s="1" t="s">
        <v>29</v>
      </c>
      <c r="L50" s="1">
        <v>159</v>
      </c>
      <c r="M50" s="1"/>
      <c r="N50" s="1" t="s">
        <v>31</v>
      </c>
      <c r="O50" s="1" t="s">
        <v>32</v>
      </c>
      <c r="P50" s="1" t="s">
        <v>33</v>
      </c>
      <c r="Q50" s="1" t="s">
        <v>186</v>
      </c>
      <c r="R50" s="1" t="str">
        <f t="shared" si="0"/>
        <v>May</v>
      </c>
      <c r="S50" s="1">
        <v>1</v>
      </c>
      <c r="T50" s="1">
        <v>1</v>
      </c>
      <c r="U50" s="6" t="s">
        <v>29</v>
      </c>
    </row>
    <row r="51" spans="1:21" x14ac:dyDescent="0.3">
      <c r="A51" s="5" t="s">
        <v>187</v>
      </c>
      <c r="B51" s="1" t="s">
        <v>36</v>
      </c>
      <c r="C51" s="1" t="s">
        <v>22</v>
      </c>
      <c r="D51" s="1" t="s">
        <v>37</v>
      </c>
      <c r="E51" s="1" t="s">
        <v>93</v>
      </c>
      <c r="F51" s="1" t="s">
        <v>25</v>
      </c>
      <c r="G51" s="1" t="s">
        <v>181</v>
      </c>
      <c r="H51" s="1" t="s">
        <v>68</v>
      </c>
      <c r="I51" s="1" t="s">
        <v>28</v>
      </c>
      <c r="J51" s="1" t="s">
        <v>29</v>
      </c>
      <c r="K51" s="1" t="s">
        <v>29</v>
      </c>
      <c r="L51" s="1">
        <v>148</v>
      </c>
      <c r="M51" s="1"/>
      <c r="N51" s="1" t="s">
        <v>31</v>
      </c>
      <c r="O51" s="1" t="s">
        <v>32</v>
      </c>
      <c r="P51" s="1" t="s">
        <v>33</v>
      </c>
      <c r="Q51" s="2">
        <v>45722.874305555553</v>
      </c>
      <c r="R51" s="1" t="str">
        <f t="shared" si="0"/>
        <v>March</v>
      </c>
      <c r="S51" s="1">
        <v>1</v>
      </c>
      <c r="T51" s="1">
        <v>1</v>
      </c>
      <c r="U51" s="6" t="s">
        <v>29</v>
      </c>
    </row>
    <row r="52" spans="1:21" x14ac:dyDescent="0.3">
      <c r="A52" s="5" t="s">
        <v>188</v>
      </c>
      <c r="B52" s="1" t="s">
        <v>36</v>
      </c>
      <c r="C52" s="1" t="s">
        <v>22</v>
      </c>
      <c r="D52" s="1" t="s">
        <v>37</v>
      </c>
      <c r="E52" s="1" t="s">
        <v>93</v>
      </c>
      <c r="F52" s="1" t="s">
        <v>25</v>
      </c>
      <c r="G52" s="4">
        <v>45934</v>
      </c>
      <c r="H52" s="1" t="s">
        <v>27</v>
      </c>
      <c r="I52" s="1" t="s">
        <v>28</v>
      </c>
      <c r="J52" s="1" t="s">
        <v>29</v>
      </c>
      <c r="K52" s="1" t="s">
        <v>29</v>
      </c>
      <c r="L52" s="1">
        <v>104</v>
      </c>
      <c r="M52" s="1"/>
      <c r="N52" s="1" t="s">
        <v>40</v>
      </c>
      <c r="O52" s="1" t="s">
        <v>32</v>
      </c>
      <c r="P52" s="1" t="s">
        <v>33</v>
      </c>
      <c r="Q52" s="2">
        <v>45723.54583333333</v>
      </c>
      <c r="R52" s="1" t="str">
        <f t="shared" si="0"/>
        <v>March</v>
      </c>
      <c r="S52" s="1">
        <v>1</v>
      </c>
      <c r="T52" s="1">
        <v>1</v>
      </c>
      <c r="U52" s="6" t="s">
        <v>29</v>
      </c>
    </row>
    <row r="53" spans="1:21" x14ac:dyDescent="0.3">
      <c r="A53" s="5" t="s">
        <v>189</v>
      </c>
      <c r="B53" s="1" t="s">
        <v>36</v>
      </c>
      <c r="C53" s="1" t="s">
        <v>22</v>
      </c>
      <c r="D53" s="1" t="s">
        <v>43</v>
      </c>
      <c r="E53" s="1" t="s">
        <v>109</v>
      </c>
      <c r="F53" s="1" t="s">
        <v>25</v>
      </c>
      <c r="G53" s="4">
        <v>45934</v>
      </c>
      <c r="H53" s="1" t="s">
        <v>27</v>
      </c>
      <c r="I53" s="1" t="s">
        <v>28</v>
      </c>
      <c r="J53" s="1" t="s">
        <v>46</v>
      </c>
      <c r="K53" s="1" t="s">
        <v>29</v>
      </c>
      <c r="L53" s="1">
        <v>72</v>
      </c>
      <c r="M53" s="1"/>
      <c r="N53" s="1" t="s">
        <v>40</v>
      </c>
      <c r="O53" s="1" t="s">
        <v>32</v>
      </c>
      <c r="P53" s="1" t="s">
        <v>33</v>
      </c>
      <c r="Q53" s="1" t="s">
        <v>190</v>
      </c>
      <c r="R53" s="1" t="str">
        <f t="shared" si="0"/>
        <v>August</v>
      </c>
      <c r="S53" s="1">
        <v>1</v>
      </c>
      <c r="T53" s="1">
        <v>1</v>
      </c>
      <c r="U53" s="6" t="s">
        <v>29</v>
      </c>
    </row>
    <row r="54" spans="1:21" x14ac:dyDescent="0.3">
      <c r="A54" s="5" t="s">
        <v>191</v>
      </c>
      <c r="B54" s="1" t="s">
        <v>36</v>
      </c>
      <c r="C54" s="1" t="s">
        <v>22</v>
      </c>
      <c r="D54" s="1" t="s">
        <v>37</v>
      </c>
      <c r="E54" s="1" t="s">
        <v>38</v>
      </c>
      <c r="F54" s="1" t="s">
        <v>25</v>
      </c>
      <c r="G54" s="4">
        <v>45934</v>
      </c>
      <c r="H54" s="1" t="s">
        <v>27</v>
      </c>
      <c r="I54" s="1" t="s">
        <v>28</v>
      </c>
      <c r="J54" s="1" t="s">
        <v>46</v>
      </c>
      <c r="K54" s="1" t="s">
        <v>29</v>
      </c>
      <c r="L54" s="1">
        <v>154</v>
      </c>
      <c r="M54" s="1"/>
      <c r="N54" s="1" t="s">
        <v>157</v>
      </c>
      <c r="O54" s="1" t="s">
        <v>32</v>
      </c>
      <c r="P54" s="1" t="s">
        <v>33</v>
      </c>
      <c r="Q54" s="1" t="s">
        <v>192</v>
      </c>
      <c r="R54" s="1" t="str">
        <f t="shared" si="0"/>
        <v>June</v>
      </c>
      <c r="S54" s="1">
        <v>1</v>
      </c>
      <c r="T54" s="1">
        <v>1</v>
      </c>
      <c r="U54" s="6" t="s">
        <v>29</v>
      </c>
    </row>
    <row r="55" spans="1:21" x14ac:dyDescent="0.3">
      <c r="A55" s="5" t="s">
        <v>193</v>
      </c>
      <c r="B55" s="1" t="s">
        <v>36</v>
      </c>
      <c r="C55" s="1" t="s">
        <v>22</v>
      </c>
      <c r="D55" s="1" t="s">
        <v>37</v>
      </c>
      <c r="E55" s="1" t="s">
        <v>38</v>
      </c>
      <c r="F55" s="1" t="s">
        <v>25</v>
      </c>
      <c r="G55" s="4">
        <v>45934</v>
      </c>
      <c r="H55" s="1" t="s">
        <v>27</v>
      </c>
      <c r="I55" s="1" t="s">
        <v>28</v>
      </c>
      <c r="J55" s="1" t="s">
        <v>29</v>
      </c>
      <c r="K55" s="1" t="s">
        <v>29</v>
      </c>
      <c r="L55" s="1">
        <v>120</v>
      </c>
      <c r="M55" s="1"/>
      <c r="N55" s="1" t="s">
        <v>31</v>
      </c>
      <c r="O55" s="1" t="s">
        <v>32</v>
      </c>
      <c r="P55" s="1" t="s">
        <v>33</v>
      </c>
      <c r="Q55" s="1" t="s">
        <v>194</v>
      </c>
      <c r="R55" s="1" t="str">
        <f t="shared" si="0"/>
        <v>May</v>
      </c>
      <c r="S55" s="1">
        <v>2</v>
      </c>
      <c r="T55" s="1">
        <v>2</v>
      </c>
      <c r="U55" s="6" t="s">
        <v>29</v>
      </c>
    </row>
    <row r="56" spans="1:21" x14ac:dyDescent="0.3">
      <c r="A56" s="5" t="s">
        <v>195</v>
      </c>
      <c r="B56" s="1" t="s">
        <v>36</v>
      </c>
      <c r="C56" s="1" t="s">
        <v>22</v>
      </c>
      <c r="D56" s="1" t="s">
        <v>37</v>
      </c>
      <c r="E56" s="1" t="s">
        <v>38</v>
      </c>
      <c r="F56" s="1" t="s">
        <v>25</v>
      </c>
      <c r="G56" s="4">
        <v>45934</v>
      </c>
      <c r="H56" s="1" t="s">
        <v>27</v>
      </c>
      <c r="I56" s="1" t="s">
        <v>28</v>
      </c>
      <c r="J56" s="1" t="s">
        <v>29</v>
      </c>
      <c r="K56" s="1" t="s">
        <v>29</v>
      </c>
      <c r="L56" s="1">
        <v>163</v>
      </c>
      <c r="M56" s="1"/>
      <c r="N56" s="1" t="s">
        <v>196</v>
      </c>
      <c r="O56" s="1" t="s">
        <v>32</v>
      </c>
      <c r="P56" s="1" t="s">
        <v>33</v>
      </c>
      <c r="Q56" s="1" t="s">
        <v>197</v>
      </c>
      <c r="R56" s="1" t="str">
        <f t="shared" si="0"/>
        <v>July</v>
      </c>
      <c r="S56" s="1">
        <v>1</v>
      </c>
      <c r="T56" s="1">
        <v>1</v>
      </c>
      <c r="U56" s="6" t="s">
        <v>29</v>
      </c>
    </row>
    <row r="57" spans="1:21" x14ac:dyDescent="0.3">
      <c r="A57" s="7" t="s">
        <v>198</v>
      </c>
      <c r="B57" s="8" t="s">
        <v>36</v>
      </c>
      <c r="C57" s="8" t="s">
        <v>22</v>
      </c>
      <c r="D57" s="8" t="s">
        <v>37</v>
      </c>
      <c r="E57" s="8" t="s">
        <v>38</v>
      </c>
      <c r="F57" s="8" t="s">
        <v>25</v>
      </c>
      <c r="G57" s="9">
        <v>45720</v>
      </c>
      <c r="H57" s="8" t="s">
        <v>27</v>
      </c>
      <c r="I57" s="8" t="s">
        <v>28</v>
      </c>
      <c r="J57" s="8" t="s">
        <v>29</v>
      </c>
      <c r="K57" s="8" t="s">
        <v>29</v>
      </c>
      <c r="L57" s="8">
        <v>136</v>
      </c>
      <c r="M57" s="8"/>
      <c r="N57" s="8" t="s">
        <v>199</v>
      </c>
      <c r="O57" s="8" t="s">
        <v>32</v>
      </c>
      <c r="P57" s="8" t="s">
        <v>33</v>
      </c>
      <c r="Q57" s="8" t="s">
        <v>200</v>
      </c>
      <c r="R57" s="8" t="str">
        <f t="shared" si="0"/>
        <v>July</v>
      </c>
      <c r="S57" s="8">
        <v>3</v>
      </c>
      <c r="T57" s="8">
        <v>1</v>
      </c>
      <c r="U57" s="10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188E-C086-4FD9-ABF5-8EEF5E93BF40}">
  <dimension ref="B1:J92"/>
  <sheetViews>
    <sheetView tabSelected="1" workbookViewId="0">
      <selection activeCell="E18" sqref="E18"/>
    </sheetView>
  </sheetViews>
  <sheetFormatPr defaultRowHeight="14.4" x14ac:dyDescent="0.3"/>
  <cols>
    <col min="1" max="1" width="8.88671875" style="24"/>
    <col min="2" max="2" width="24.77734375" style="24" customWidth="1"/>
    <col min="3" max="3" width="30" style="24" bestFit="1" customWidth="1"/>
    <col min="4" max="4" width="22.77734375" style="24" customWidth="1"/>
    <col min="5" max="5" width="29" style="24" bestFit="1" customWidth="1"/>
    <col min="6" max="6" width="15.77734375" style="24" bestFit="1" customWidth="1"/>
    <col min="7" max="7" width="8.88671875" style="24"/>
    <col min="8" max="8" width="19.77734375" style="24" bestFit="1" customWidth="1"/>
    <col min="9" max="9" width="30.109375" style="24" customWidth="1"/>
    <col min="10" max="10" width="20.33203125" style="24" customWidth="1"/>
    <col min="11" max="16384" width="8.88671875" style="24"/>
  </cols>
  <sheetData>
    <row r="1" spans="2:10" ht="15" thickBot="1" x14ac:dyDescent="0.35">
      <c r="B1" s="24">
        <f>GETPIVOTDATA("Lead Origin",$B$3)</f>
        <v>56</v>
      </c>
      <c r="H1" s="53">
        <f>GETPIVOTDATA("Email Verification Status",$H$3,"Email Verification Status","Yes")</f>
        <v>0.5535714285714286</v>
      </c>
    </row>
    <row r="2" spans="2:10" x14ac:dyDescent="0.3">
      <c r="B2" s="48" t="s">
        <v>228</v>
      </c>
      <c r="D2" s="49" t="s">
        <v>232</v>
      </c>
      <c r="E2" s="50"/>
      <c r="H2" s="49" t="s">
        <v>236</v>
      </c>
      <c r="I2" s="50"/>
    </row>
    <row r="3" spans="2:10" x14ac:dyDescent="0.3">
      <c r="B3" s="30" t="s">
        <v>201</v>
      </c>
      <c r="D3" s="34" t="s">
        <v>205</v>
      </c>
      <c r="E3" s="35" t="s">
        <v>207</v>
      </c>
      <c r="H3" s="34" t="s">
        <v>205</v>
      </c>
      <c r="I3" s="35" t="s">
        <v>207</v>
      </c>
    </row>
    <row r="4" spans="2:10" ht="15" thickBot="1" x14ac:dyDescent="0.35">
      <c r="B4" s="31">
        <v>56</v>
      </c>
      <c r="D4" s="38" t="s">
        <v>29</v>
      </c>
      <c r="E4" s="40">
        <v>1</v>
      </c>
      <c r="H4" s="36" t="s">
        <v>46</v>
      </c>
      <c r="I4" s="42">
        <v>0.44642857142857145</v>
      </c>
    </row>
    <row r="5" spans="2:10" ht="15" thickBot="1" x14ac:dyDescent="0.35">
      <c r="D5"/>
      <c r="E5"/>
      <c r="H5" s="38" t="s">
        <v>29</v>
      </c>
      <c r="I5" s="43">
        <v>0.5535714285714286</v>
      </c>
    </row>
    <row r="6" spans="2:10" x14ac:dyDescent="0.3">
      <c r="H6"/>
      <c r="I6"/>
    </row>
    <row r="7" spans="2:10" ht="15" thickBot="1" x14ac:dyDescent="0.35">
      <c r="B7" s="52">
        <f>GETPIVOTDATA("Enrolment Status",$B$9)</f>
        <v>1</v>
      </c>
      <c r="H7" s="53">
        <f>GETPIVOTDATA("Count of Lead Origin",$H$9,"Lead Origin","API")</f>
        <v>0.5892857142857143</v>
      </c>
      <c r="I7" s="53">
        <f>GETPIVOTDATA("Count of Lead Origin",$H$9,"Lead Origin","Online")</f>
        <v>0.4107142857142857</v>
      </c>
    </row>
    <row r="8" spans="2:10" x14ac:dyDescent="0.3">
      <c r="B8" s="48" t="s">
        <v>229</v>
      </c>
      <c r="D8" s="49" t="s">
        <v>233</v>
      </c>
      <c r="E8" s="50"/>
      <c r="H8" s="49" t="s">
        <v>237</v>
      </c>
      <c r="I8" s="51"/>
      <c r="J8" s="50"/>
    </row>
    <row r="9" spans="2:10" x14ac:dyDescent="0.3">
      <c r="B9" s="30" t="s">
        <v>202</v>
      </c>
      <c r="D9" s="34" t="s">
        <v>205</v>
      </c>
      <c r="E9" s="35" t="s">
        <v>212</v>
      </c>
      <c r="H9" s="34" t="s">
        <v>205</v>
      </c>
      <c r="I9" s="26" t="s">
        <v>201</v>
      </c>
      <c r="J9" s="35" t="s">
        <v>208</v>
      </c>
    </row>
    <row r="10" spans="2:10" ht="15" thickBot="1" x14ac:dyDescent="0.35">
      <c r="B10" s="32">
        <v>1</v>
      </c>
      <c r="D10" s="36" t="s">
        <v>30</v>
      </c>
      <c r="E10" s="41">
        <v>0.91304347826086951</v>
      </c>
      <c r="H10" s="36" t="s">
        <v>36</v>
      </c>
      <c r="I10" s="28">
        <v>0.5892857142857143</v>
      </c>
      <c r="J10" s="37">
        <v>33</v>
      </c>
    </row>
    <row r="11" spans="2:10" ht="15" thickBot="1" x14ac:dyDescent="0.35">
      <c r="D11" s="36" t="s">
        <v>90</v>
      </c>
      <c r="E11" s="41">
        <v>8.6956521739130432E-2</v>
      </c>
      <c r="H11" s="38" t="s">
        <v>21</v>
      </c>
      <c r="I11" s="44">
        <v>0.4107142857142857</v>
      </c>
      <c r="J11" s="39">
        <v>23</v>
      </c>
    </row>
    <row r="12" spans="2:10" ht="15" thickBot="1" x14ac:dyDescent="0.35">
      <c r="B12" s="25">
        <f>GETPIVOTDATA("Lead Score",$B$14)</f>
        <v>91.857142857142861</v>
      </c>
      <c r="D12" s="36" t="s">
        <v>211</v>
      </c>
      <c r="E12" s="41">
        <v>0</v>
      </c>
      <c r="H12"/>
      <c r="I12"/>
      <c r="J12"/>
    </row>
    <row r="13" spans="2:10" ht="15" thickBot="1" x14ac:dyDescent="0.35">
      <c r="B13" s="48" t="s">
        <v>230</v>
      </c>
      <c r="D13" s="38" t="s">
        <v>206</v>
      </c>
      <c r="E13" s="40">
        <v>1</v>
      </c>
    </row>
    <row r="14" spans="2:10" ht="15" thickBot="1" x14ac:dyDescent="0.35">
      <c r="B14" s="30" t="s">
        <v>203</v>
      </c>
    </row>
    <row r="15" spans="2:10" ht="15" thickBot="1" x14ac:dyDescent="0.35">
      <c r="B15" s="33">
        <v>91.857142857142861</v>
      </c>
      <c r="H15" s="49" t="s">
        <v>238</v>
      </c>
      <c r="I15" s="51"/>
      <c r="J15" s="50"/>
    </row>
    <row r="16" spans="2:10" ht="15" thickBot="1" x14ac:dyDescent="0.35">
      <c r="B16" s="24">
        <f>GETPIVOTDATA("Lead Score",$B$18)</f>
        <v>163</v>
      </c>
      <c r="H16" s="34" t="s">
        <v>205</v>
      </c>
      <c r="I16" s="26" t="s">
        <v>209</v>
      </c>
      <c r="J16" s="35" t="s">
        <v>210</v>
      </c>
    </row>
    <row r="17" spans="2:10" x14ac:dyDescent="0.3">
      <c r="B17" s="48" t="s">
        <v>231</v>
      </c>
      <c r="H17" s="36" t="s">
        <v>27</v>
      </c>
      <c r="I17" s="27">
        <v>41</v>
      </c>
      <c r="J17" s="41">
        <v>0.7321428571428571</v>
      </c>
    </row>
    <row r="18" spans="2:10" ht="15" thickBot="1" x14ac:dyDescent="0.35">
      <c r="B18" s="30" t="s">
        <v>204</v>
      </c>
      <c r="H18" s="38" t="s">
        <v>68</v>
      </c>
      <c r="I18" s="45">
        <v>15</v>
      </c>
      <c r="J18" s="40">
        <v>0.26785714285714285</v>
      </c>
    </row>
    <row r="19" spans="2:10" ht="15" thickBot="1" x14ac:dyDescent="0.35">
      <c r="B19" s="31">
        <v>163</v>
      </c>
      <c r="H19"/>
      <c r="I19"/>
      <c r="J19"/>
    </row>
    <row r="23" spans="2:10" ht="15" thickBot="1" x14ac:dyDescent="0.35"/>
    <row r="24" spans="2:10" x14ac:dyDescent="0.3">
      <c r="B24" s="49" t="s">
        <v>234</v>
      </c>
      <c r="C24" s="50"/>
    </row>
    <row r="25" spans="2:10" x14ac:dyDescent="0.3">
      <c r="B25" s="34" t="s">
        <v>205</v>
      </c>
      <c r="C25" s="35" t="s">
        <v>201</v>
      </c>
    </row>
    <row r="26" spans="2:10" x14ac:dyDescent="0.3">
      <c r="B26" s="36" t="s">
        <v>175</v>
      </c>
      <c r="C26" s="37">
        <v>1</v>
      </c>
    </row>
    <row r="27" spans="2:10" x14ac:dyDescent="0.3">
      <c r="B27" s="36" t="s">
        <v>60</v>
      </c>
      <c r="C27" s="37">
        <v>1</v>
      </c>
    </row>
    <row r="28" spans="2:10" x14ac:dyDescent="0.3">
      <c r="B28" s="36" t="s">
        <v>137</v>
      </c>
      <c r="C28" s="37">
        <v>1</v>
      </c>
    </row>
    <row r="29" spans="2:10" x14ac:dyDescent="0.3">
      <c r="B29" s="36" t="s">
        <v>142</v>
      </c>
      <c r="C29" s="37">
        <v>1</v>
      </c>
    </row>
    <row r="30" spans="2:10" x14ac:dyDescent="0.3">
      <c r="B30" s="36" t="s">
        <v>80</v>
      </c>
      <c r="C30" s="37">
        <v>2</v>
      </c>
    </row>
    <row r="31" spans="2:10" x14ac:dyDescent="0.3">
      <c r="B31" s="36" t="s">
        <v>65</v>
      </c>
      <c r="C31" s="37">
        <v>3</v>
      </c>
    </row>
    <row r="32" spans="2:10" x14ac:dyDescent="0.3">
      <c r="B32" s="36" t="s">
        <v>23</v>
      </c>
      <c r="C32" s="37">
        <v>4</v>
      </c>
    </row>
    <row r="33" spans="2:3" x14ac:dyDescent="0.3">
      <c r="B33" s="36" t="s">
        <v>43</v>
      </c>
      <c r="C33" s="37">
        <v>20</v>
      </c>
    </row>
    <row r="34" spans="2:3" x14ac:dyDescent="0.3">
      <c r="B34" s="36" t="s">
        <v>37</v>
      </c>
      <c r="C34" s="37">
        <v>23</v>
      </c>
    </row>
    <row r="35" spans="2:3" ht="15" thickBot="1" x14ac:dyDescent="0.35">
      <c r="B35" s="38" t="s">
        <v>206</v>
      </c>
      <c r="C35" s="39">
        <v>56</v>
      </c>
    </row>
    <row r="39" spans="2:3" ht="15" thickBot="1" x14ac:dyDescent="0.35"/>
    <row r="40" spans="2:3" x14ac:dyDescent="0.3">
      <c r="B40" s="46" t="s">
        <v>235</v>
      </c>
      <c r="C40" s="47"/>
    </row>
    <row r="41" spans="2:3" x14ac:dyDescent="0.3">
      <c r="B41" s="34" t="s">
        <v>205</v>
      </c>
      <c r="C41" s="35" t="s">
        <v>201</v>
      </c>
    </row>
    <row r="42" spans="2:3" x14ac:dyDescent="0.3">
      <c r="B42" s="36" t="s">
        <v>24</v>
      </c>
      <c r="C42" s="37">
        <v>2</v>
      </c>
    </row>
    <row r="43" spans="2:3" x14ac:dyDescent="0.3">
      <c r="B43" s="36" t="s">
        <v>152</v>
      </c>
      <c r="C43" s="37">
        <v>2</v>
      </c>
    </row>
    <row r="44" spans="2:3" x14ac:dyDescent="0.3">
      <c r="B44" s="36" t="s">
        <v>109</v>
      </c>
      <c r="C44" s="37">
        <v>2</v>
      </c>
    </row>
    <row r="45" spans="2:3" x14ac:dyDescent="0.3">
      <c r="B45" s="36" t="s">
        <v>113</v>
      </c>
      <c r="C45" s="37">
        <v>2</v>
      </c>
    </row>
    <row r="46" spans="2:3" x14ac:dyDescent="0.3">
      <c r="B46" s="36" t="s">
        <v>81</v>
      </c>
      <c r="C46" s="37">
        <v>2</v>
      </c>
    </row>
    <row r="47" spans="2:3" x14ac:dyDescent="0.3">
      <c r="B47" s="36" t="s">
        <v>66</v>
      </c>
      <c r="C47" s="37">
        <v>3</v>
      </c>
    </row>
    <row r="48" spans="2:3" x14ac:dyDescent="0.3">
      <c r="B48" s="36" t="s">
        <v>93</v>
      </c>
      <c r="C48" s="37">
        <v>6</v>
      </c>
    </row>
    <row r="49" spans="2:3" x14ac:dyDescent="0.3">
      <c r="B49" s="36" t="s">
        <v>38</v>
      </c>
      <c r="C49" s="37">
        <v>9</v>
      </c>
    </row>
    <row r="50" spans="2:3" x14ac:dyDescent="0.3">
      <c r="B50" s="36" t="s">
        <v>44</v>
      </c>
      <c r="C50" s="37">
        <v>13</v>
      </c>
    </row>
    <row r="51" spans="2:3" ht="15" thickBot="1" x14ac:dyDescent="0.35">
      <c r="B51" s="38" t="s">
        <v>206</v>
      </c>
      <c r="C51" s="39">
        <v>41</v>
      </c>
    </row>
    <row r="57" spans="2:3" ht="15" thickBot="1" x14ac:dyDescent="0.35"/>
    <row r="58" spans="2:3" x14ac:dyDescent="0.3">
      <c r="B58" s="54" t="s">
        <v>205</v>
      </c>
      <c r="C58" s="55" t="s">
        <v>201</v>
      </c>
    </row>
    <row r="59" spans="2:3" x14ac:dyDescent="0.3">
      <c r="B59" s="36" t="s">
        <v>31</v>
      </c>
      <c r="C59" s="37">
        <v>25</v>
      </c>
    </row>
    <row r="60" spans="2:3" x14ac:dyDescent="0.3">
      <c r="B60" s="36" t="s">
        <v>40</v>
      </c>
      <c r="C60" s="37">
        <v>5</v>
      </c>
    </row>
    <row r="61" spans="2:3" x14ac:dyDescent="0.3">
      <c r="B61" s="36" t="s">
        <v>47</v>
      </c>
      <c r="C61" s="37">
        <v>4</v>
      </c>
    </row>
    <row r="62" spans="2:3" x14ac:dyDescent="0.3">
      <c r="B62" s="36" t="s">
        <v>56</v>
      </c>
      <c r="C62" s="37">
        <v>2</v>
      </c>
    </row>
    <row r="63" spans="2:3" x14ac:dyDescent="0.3">
      <c r="B63" s="36" t="s">
        <v>82</v>
      </c>
      <c r="C63" s="37">
        <v>2</v>
      </c>
    </row>
    <row r="64" spans="2:3" x14ac:dyDescent="0.3">
      <c r="B64" s="36" t="s">
        <v>97</v>
      </c>
      <c r="C64" s="37">
        <v>2</v>
      </c>
    </row>
    <row r="65" spans="2:6" ht="28.8" x14ac:dyDescent="0.3">
      <c r="B65" s="56" t="s">
        <v>157</v>
      </c>
      <c r="C65" s="37">
        <v>2</v>
      </c>
    </row>
    <row r="66" spans="2:6" x14ac:dyDescent="0.3">
      <c r="B66" s="36" t="s">
        <v>51</v>
      </c>
      <c r="C66" s="37">
        <v>2</v>
      </c>
    </row>
    <row r="67" spans="2:6" ht="15" thickBot="1" x14ac:dyDescent="0.35">
      <c r="B67" s="38" t="s">
        <v>206</v>
      </c>
      <c r="C67" s="39">
        <v>44</v>
      </c>
    </row>
    <row r="70" spans="2:6" ht="15" thickBot="1" x14ac:dyDescent="0.35"/>
    <row r="71" spans="2:6" x14ac:dyDescent="0.3">
      <c r="B71" s="29" t="s">
        <v>213</v>
      </c>
      <c r="D71" s="29" t="s">
        <v>203</v>
      </c>
      <c r="F71" s="29" t="s">
        <v>204</v>
      </c>
    </row>
    <row r="72" spans="2:6" ht="15" thickBot="1" x14ac:dyDescent="0.35">
      <c r="B72" s="31">
        <v>36</v>
      </c>
      <c r="D72" s="33">
        <v>91.857142857142861</v>
      </c>
      <c r="F72" s="33">
        <v>163</v>
      </c>
    </row>
    <row r="74" spans="2:6" x14ac:dyDescent="0.3">
      <c r="B74" s="52">
        <f>GETPIVOTDATA("[Measures].[Count of Mobile Verification Status]",$B$75,"[Table1].[Mobile Verification Status]","[Table1].[Mobile Verification Status].&amp;[Yes]")</f>
        <v>1</v>
      </c>
    </row>
    <row r="75" spans="2:6" x14ac:dyDescent="0.3">
      <c r="B75" s="57" t="s">
        <v>205</v>
      </c>
      <c r="C75" s="1" t="s">
        <v>239</v>
      </c>
      <c r="D75"/>
    </row>
    <row r="76" spans="2:6" x14ac:dyDescent="0.3">
      <c r="B76" s="1" t="s">
        <v>29</v>
      </c>
      <c r="C76" s="58">
        <v>1</v>
      </c>
      <c r="D76"/>
    </row>
    <row r="77" spans="2:6" x14ac:dyDescent="0.3">
      <c r="B77"/>
      <c r="C77"/>
      <c r="D77"/>
    </row>
    <row r="78" spans="2:6" x14ac:dyDescent="0.3">
      <c r="B78"/>
      <c r="C78"/>
      <c r="D78"/>
    </row>
    <row r="79" spans="2:6" x14ac:dyDescent="0.3">
      <c r="B79"/>
      <c r="C79"/>
      <c r="D79"/>
    </row>
    <row r="80" spans="2:6" x14ac:dyDescent="0.3">
      <c r="B80"/>
      <c r="C80"/>
      <c r="D80"/>
    </row>
    <row r="81" spans="2:4" x14ac:dyDescent="0.3">
      <c r="B81"/>
      <c r="C81"/>
      <c r="D81"/>
    </row>
    <row r="82" spans="2:4" x14ac:dyDescent="0.3">
      <c r="B82"/>
      <c r="C82"/>
      <c r="D82"/>
    </row>
    <row r="83" spans="2:4" x14ac:dyDescent="0.3">
      <c r="B83"/>
      <c r="C83"/>
      <c r="D83"/>
    </row>
    <row r="84" spans="2:4" x14ac:dyDescent="0.3">
      <c r="B84"/>
      <c r="C84"/>
      <c r="D84"/>
    </row>
    <row r="85" spans="2:4" x14ac:dyDescent="0.3">
      <c r="B85"/>
      <c r="C85"/>
      <c r="D85"/>
    </row>
    <row r="86" spans="2:4" x14ac:dyDescent="0.3">
      <c r="B86"/>
      <c r="C86"/>
      <c r="D86"/>
    </row>
    <row r="87" spans="2:4" x14ac:dyDescent="0.3">
      <c r="B87"/>
      <c r="C87"/>
      <c r="D87"/>
    </row>
    <row r="88" spans="2:4" x14ac:dyDescent="0.3">
      <c r="B88"/>
      <c r="C88"/>
      <c r="D88"/>
    </row>
    <row r="89" spans="2:4" x14ac:dyDescent="0.3">
      <c r="B89"/>
      <c r="C89"/>
      <c r="D89"/>
    </row>
    <row r="90" spans="2:4" x14ac:dyDescent="0.3">
      <c r="B90"/>
      <c r="C90"/>
      <c r="D90"/>
    </row>
    <row r="91" spans="2:4" x14ac:dyDescent="0.3">
      <c r="B91"/>
      <c r="C91"/>
      <c r="D91"/>
    </row>
    <row r="92" spans="2:4" x14ac:dyDescent="0.3">
      <c r="B92"/>
      <c r="C92"/>
      <c r="D92"/>
    </row>
  </sheetData>
  <mergeCells count="7">
    <mergeCell ref="D2:E2"/>
    <mergeCell ref="D8:E8"/>
    <mergeCell ref="B24:C24"/>
    <mergeCell ref="B40:C40"/>
    <mergeCell ref="H2:I2"/>
    <mergeCell ref="H8:J8"/>
    <mergeCell ref="H15:J15"/>
  </mergeCells>
  <pageMargins left="0.7" right="0.7" top="0.75" bottom="0.75" header="0.3" footer="0.3"/>
  <pageSetup orientation="portrait" r:id="rId17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2AE9-04DF-4081-9FFA-BB51B1A667DB}">
  <dimension ref="B1:C16"/>
  <sheetViews>
    <sheetView workbookViewId="0">
      <selection activeCell="O4" sqref="O4"/>
    </sheetView>
  </sheetViews>
  <sheetFormatPr defaultRowHeight="14.4" x14ac:dyDescent="0.3"/>
  <cols>
    <col min="2" max="2" width="12.44140625" bestFit="1" customWidth="1"/>
    <col min="3" max="3" width="13.21875" bestFit="1" customWidth="1"/>
  </cols>
  <sheetData>
    <row r="1" spans="2:3" ht="15" thickBot="1" x14ac:dyDescent="0.35"/>
    <row r="2" spans="2:3" x14ac:dyDescent="0.3">
      <c r="B2" s="14" t="s">
        <v>227</v>
      </c>
      <c r="C2" s="15"/>
    </row>
    <row r="3" spans="2:3" x14ac:dyDescent="0.3">
      <c r="B3" s="16"/>
      <c r="C3" s="17"/>
    </row>
    <row r="4" spans="2:3" x14ac:dyDescent="0.3">
      <c r="B4" s="18" t="s">
        <v>205</v>
      </c>
      <c r="C4" s="19" t="s">
        <v>226</v>
      </c>
    </row>
    <row r="5" spans="2:3" x14ac:dyDescent="0.3">
      <c r="B5" s="20" t="s">
        <v>225</v>
      </c>
      <c r="C5" s="21">
        <v>1</v>
      </c>
    </row>
    <row r="6" spans="2:3" x14ac:dyDescent="0.3">
      <c r="B6" s="20" t="s">
        <v>224</v>
      </c>
      <c r="C6" s="21">
        <v>1</v>
      </c>
    </row>
    <row r="7" spans="2:3" x14ac:dyDescent="0.3">
      <c r="B7" s="20" t="s">
        <v>217</v>
      </c>
      <c r="C7" s="21">
        <v>1</v>
      </c>
    </row>
    <row r="8" spans="2:3" x14ac:dyDescent="0.3">
      <c r="B8" s="20" t="s">
        <v>218</v>
      </c>
      <c r="C8" s="21">
        <v>1</v>
      </c>
    </row>
    <row r="9" spans="2:3" x14ac:dyDescent="0.3">
      <c r="B9" s="20" t="s">
        <v>221</v>
      </c>
      <c r="C9" s="21">
        <v>2</v>
      </c>
    </row>
    <row r="10" spans="2:3" x14ac:dyDescent="0.3">
      <c r="B10" s="20" t="s">
        <v>215</v>
      </c>
      <c r="C10" s="21">
        <v>3</v>
      </c>
    </row>
    <row r="11" spans="2:3" x14ac:dyDescent="0.3">
      <c r="B11" s="20" t="s">
        <v>223</v>
      </c>
      <c r="C11" s="21">
        <v>5</v>
      </c>
    </row>
    <row r="12" spans="2:3" x14ac:dyDescent="0.3">
      <c r="B12" s="20" t="s">
        <v>219</v>
      </c>
      <c r="C12" s="21">
        <v>10</v>
      </c>
    </row>
    <row r="13" spans="2:3" x14ac:dyDescent="0.3">
      <c r="B13" s="20" t="s">
        <v>216</v>
      </c>
      <c r="C13" s="21">
        <v>10</v>
      </c>
    </row>
    <row r="14" spans="2:3" x14ac:dyDescent="0.3">
      <c r="B14" s="20" t="s">
        <v>222</v>
      </c>
      <c r="C14" s="21">
        <v>10</v>
      </c>
    </row>
    <row r="15" spans="2:3" x14ac:dyDescent="0.3">
      <c r="B15" s="20" t="s">
        <v>220</v>
      </c>
      <c r="C15" s="21">
        <v>12</v>
      </c>
    </row>
    <row r="16" spans="2:3" ht="15" thickBot="1" x14ac:dyDescent="0.35">
      <c r="B16" s="22" t="s">
        <v>206</v>
      </c>
      <c r="C16" s="23">
        <v>56</v>
      </c>
    </row>
  </sheetData>
  <mergeCells count="1">
    <mergeCell ref="B2:C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B8D4-1C1E-4D4A-81EA-A6B0E957F004}">
  <dimension ref="B4:C16"/>
  <sheetViews>
    <sheetView workbookViewId="0">
      <selection activeCell="C22" sqref="C22"/>
    </sheetView>
  </sheetViews>
  <sheetFormatPr defaultRowHeight="14.4" x14ac:dyDescent="0.3"/>
  <cols>
    <col min="2" max="2" width="41" bestFit="1" customWidth="1"/>
    <col min="3" max="3" width="14" bestFit="1" customWidth="1"/>
    <col min="10" max="10" width="23.21875" bestFit="1" customWidth="1"/>
  </cols>
  <sheetData>
    <row r="4" spans="2:3" ht="15" thickBot="1" x14ac:dyDescent="0.35"/>
    <row r="5" spans="2:3" x14ac:dyDescent="0.3">
      <c r="B5" s="59" t="s">
        <v>205</v>
      </c>
      <c r="C5" s="60" t="s">
        <v>240</v>
      </c>
    </row>
    <row r="6" spans="2:3" x14ac:dyDescent="0.3">
      <c r="B6" s="61" t="s">
        <v>75</v>
      </c>
      <c r="C6" s="62">
        <v>1</v>
      </c>
    </row>
    <row r="7" spans="2:3" x14ac:dyDescent="0.3">
      <c r="B7" s="61" t="s">
        <v>117</v>
      </c>
      <c r="C7" s="62">
        <v>1</v>
      </c>
    </row>
    <row r="8" spans="2:3" x14ac:dyDescent="0.3">
      <c r="B8" s="61" t="s">
        <v>157</v>
      </c>
      <c r="C8" s="62">
        <v>2</v>
      </c>
    </row>
    <row r="9" spans="2:3" x14ac:dyDescent="0.3">
      <c r="B9" s="61" t="s">
        <v>51</v>
      </c>
      <c r="C9" s="62">
        <v>2</v>
      </c>
    </row>
    <row r="10" spans="2:3" x14ac:dyDescent="0.3">
      <c r="B10" s="61" t="s">
        <v>97</v>
      </c>
      <c r="C10" s="62">
        <v>2</v>
      </c>
    </row>
    <row r="11" spans="2:3" x14ac:dyDescent="0.3">
      <c r="B11" s="61" t="s">
        <v>56</v>
      </c>
      <c r="C11" s="62">
        <v>2</v>
      </c>
    </row>
    <row r="12" spans="2:3" x14ac:dyDescent="0.3">
      <c r="B12" s="61" t="s">
        <v>82</v>
      </c>
      <c r="C12" s="62">
        <v>2</v>
      </c>
    </row>
    <row r="13" spans="2:3" x14ac:dyDescent="0.3">
      <c r="B13" s="61" t="s">
        <v>47</v>
      </c>
      <c r="C13" s="62">
        <v>4</v>
      </c>
    </row>
    <row r="14" spans="2:3" x14ac:dyDescent="0.3">
      <c r="B14" s="61" t="s">
        <v>40</v>
      </c>
      <c r="C14" s="62">
        <v>5</v>
      </c>
    </row>
    <row r="15" spans="2:3" x14ac:dyDescent="0.3">
      <c r="B15" s="61" t="s">
        <v>31</v>
      </c>
      <c r="C15" s="62">
        <v>25</v>
      </c>
    </row>
    <row r="16" spans="2:3" ht="15" thickBot="1" x14ac:dyDescent="0.35">
      <c r="B16" s="63" t="s">
        <v>206</v>
      </c>
      <c r="C16" s="64">
        <v>46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11C4F754-938C-44E3-80D5-90F96A0562BF}">
  <ds:schemaRefs/>
</ds:datastoreItem>
</file>

<file path=customXml/itemProps2.xml><?xml version="1.0" encoding="utf-8"?>
<ds:datastoreItem xmlns:ds="http://schemas.openxmlformats.org/officeDocument/2006/customXml" ds:itemID="{36CA4EA4-1330-4E24-81EC-83829BA30DCA}">
  <ds:schemaRefs/>
</ds:datastoreItem>
</file>

<file path=customXml/itemProps3.xml><?xml version="1.0" encoding="utf-8"?>
<ds:datastoreItem xmlns:ds="http://schemas.openxmlformats.org/officeDocument/2006/customXml" ds:itemID="{B68B41EF-BD77-4E69-8509-E44D5203C9F5}">
  <ds:schemaRefs/>
</ds:datastoreItem>
</file>

<file path=customXml/itemProps4.xml><?xml version="1.0" encoding="utf-8"?>
<ds:datastoreItem xmlns:ds="http://schemas.openxmlformats.org/officeDocument/2006/customXml" ds:itemID="{E83F3FBE-528A-49D6-90D3-76D48E0C6C00}">
  <ds:schemaRefs/>
</ds:datastoreItem>
</file>

<file path=customXml/itemProps5.xml><?xml version="1.0" encoding="utf-8"?>
<ds:datastoreItem xmlns:ds="http://schemas.openxmlformats.org/officeDocument/2006/customXml" ds:itemID="{BC8D35B7-F6DF-49EA-96C6-FDAE2256249F}">
  <ds:schemaRefs/>
</ds:datastoreItem>
</file>

<file path=customXml/itemProps6.xml><?xml version="1.0" encoding="utf-8"?>
<ds:datastoreItem xmlns:ds="http://schemas.openxmlformats.org/officeDocument/2006/customXml" ds:itemID="{C846D047-BF2A-45D5-9947-A826B27F89DD}">
  <ds:schemaRefs/>
</ds:datastoreItem>
</file>

<file path=customXml/itemProps7.xml><?xml version="1.0" encoding="utf-8"?>
<ds:datastoreItem xmlns:ds="http://schemas.openxmlformats.org/officeDocument/2006/customXml" ds:itemID="{8BD0BC55-DD4E-4089-B460-41E308A82B8B}">
  <ds:schemaRefs/>
</ds:datastoreItem>
</file>

<file path=customXml/itemProps8.xml><?xml version="1.0" encoding="utf-8"?>
<ds:datastoreItem xmlns:ds="http://schemas.openxmlformats.org/officeDocument/2006/customXml" ds:itemID="{4041690B-5284-4439-9E90-8C4CF43AF619}">
  <ds:schemaRefs/>
</ds:datastoreItem>
</file>

<file path=customXml/itemProps9.xml><?xml version="1.0" encoding="utf-8"?>
<ds:datastoreItem xmlns:ds="http://schemas.openxmlformats.org/officeDocument/2006/customXml" ds:itemID="{AA3D0CFC-F6FE-408B-A8A0-C32185FAB891}">
  <ds:schemaRefs/>
</ds:datastoreItem>
</file>

<file path=customXml/itemProps10.xml><?xml version="1.0" encoding="utf-8"?>
<ds:datastoreItem xmlns:ds="http://schemas.openxmlformats.org/officeDocument/2006/customXml" ds:itemID="{F6C680C4-DA45-4DE7-B64E-E01D019B66E2}">
  <ds:schemaRefs/>
</ds:datastoreItem>
</file>

<file path=customXml/itemProps11.xml><?xml version="1.0" encoding="utf-8"?>
<ds:datastoreItem xmlns:ds="http://schemas.openxmlformats.org/officeDocument/2006/customXml" ds:itemID="{FA6047FA-C22D-4AA4-9ECE-BF3A647BD641}">
  <ds:schemaRefs/>
</ds:datastoreItem>
</file>

<file path=customXml/itemProps12.xml><?xml version="1.0" encoding="utf-8"?>
<ds:datastoreItem xmlns:ds="http://schemas.openxmlformats.org/officeDocument/2006/customXml" ds:itemID="{111CE3B1-D8A7-4671-8298-94EA3C9ACC01}">
  <ds:schemaRefs/>
</ds:datastoreItem>
</file>

<file path=customXml/itemProps13.xml><?xml version="1.0" encoding="utf-8"?>
<ds:datastoreItem xmlns:ds="http://schemas.openxmlformats.org/officeDocument/2006/customXml" ds:itemID="{3EAC58CD-E0B3-451C-9A9E-A356D0AB6D97}">
  <ds:schemaRefs/>
</ds:datastoreItem>
</file>

<file path=customXml/itemProps14.xml><?xml version="1.0" encoding="utf-8"?>
<ds:datastoreItem xmlns:ds="http://schemas.openxmlformats.org/officeDocument/2006/customXml" ds:itemID="{8D907DEF-3387-44AC-B098-9D6730201300}">
  <ds:schemaRefs/>
</ds:datastoreItem>
</file>

<file path=customXml/itemProps15.xml><?xml version="1.0" encoding="utf-8"?>
<ds:datastoreItem xmlns:ds="http://schemas.openxmlformats.org/officeDocument/2006/customXml" ds:itemID="{B0DC35AB-ECF0-412C-A942-D137F9C1EB3F}">
  <ds:schemaRefs/>
</ds:datastoreItem>
</file>

<file path=customXml/itemProps16.xml><?xml version="1.0" encoding="utf-8"?>
<ds:datastoreItem xmlns:ds="http://schemas.openxmlformats.org/officeDocument/2006/customXml" ds:itemID="{4A820F7B-944C-4486-AD9D-E5C3E631F8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College2_Dump</vt:lpstr>
      <vt:lpstr>Executive Overview</vt:lpstr>
      <vt:lpstr>Monthly Trend</vt:lpstr>
      <vt:lpstr>Course Demand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Chhabra</dc:creator>
  <cp:lastModifiedBy>Vinay Vishwakarma</cp:lastModifiedBy>
  <cp:lastPrinted>2026-04-05T10:44:48Z</cp:lastPrinted>
  <dcterms:created xsi:type="dcterms:W3CDTF">2026-04-05T10:44:36Z</dcterms:created>
  <dcterms:modified xsi:type="dcterms:W3CDTF">2026-04-05T12:52:32Z</dcterms:modified>
</cp:coreProperties>
</file>